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s="67" t="inlineStr">
        <is>
          <t>1.58x</t>
        </is>
      </c>
      <c r="M60" s="67" t="inlineStr">
        <is>
          <t>no change - hold current position</t>
        </is>
      </c>
      <c r="N60" s="67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s="67" t="n">
        <v>137</v>
      </c>
      <c r="T60" s="67" t="inlineStr">
        <is>
          <t>above</t>
        </is>
      </c>
      <c r="U60" s="67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s="67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>
        <v>122.850621579</v>
      </c>
      <c r="D62" s="84" t="n">
        <v>712.2</v>
      </c>
      <c r="E62" s="84">
        <f>IF(D62="","",D62*C62)</f>
        <v/>
      </c>
      <c r="F62" s="120">
        <f>IF(B62="","",E62/B62)</f>
        <v/>
      </c>
      <c r="G62" s="127" t="n">
        <v>250.933336979</v>
      </c>
      <c r="H62" s="67" t="n">
        <v>68.43000000000001</v>
      </c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s="67" t="inlineStr">
        <is>
          <t>1.32x</t>
        </is>
      </c>
      <c r="M62" s="67" t="inlineStr">
        <is>
          <t>no change - hold current position</t>
        </is>
      </c>
      <c r="N62" s="67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s="67" t="n">
        <v>139</v>
      </c>
      <c r="T62" s="67" t="inlineStr">
        <is>
          <t>above</t>
        </is>
      </c>
      <c r="U62" s="67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>
        <v>-0.28</v>
      </c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>
        <v>122.850621579</v>
      </c>
      <c r="D63" s="84" t="n">
        <v>721.25</v>
      </c>
      <c r="E63" s="84">
        <f>IF(D63="","",D63*C63)</f>
        <v/>
      </c>
      <c r="F63" s="120">
        <f>IF(B63="","",E63/B63)</f>
        <v/>
      </c>
      <c r="G63" s="127" t="n">
        <v>250.933336979</v>
      </c>
      <c r="H63" s="67" t="n">
        <v>71.04000000000001</v>
      </c>
      <c r="I63" s="84">
        <f>IF(H63="","",H63*G63)</f>
        <v/>
      </c>
      <c r="J63" s="120">
        <f>IF(B63="","",I63/B63)</f>
        <v/>
      </c>
      <c r="K63" s="121">
        <f>IF(B63="","",F63+J63*3)</f>
        <v/>
      </c>
      <c r="L63" s="67" t="inlineStr">
        <is>
          <t>1.32x</t>
        </is>
      </c>
      <c r="M63" s="67" t="inlineStr">
        <is>
          <t>no change - hold current position</t>
        </is>
      </c>
      <c r="N63" s="67" t="inlineStr">
        <is>
          <t>1.33x</t>
        </is>
      </c>
      <c r="O63" s="122" t="n">
        <v>0.89</v>
      </c>
      <c r="P63" s="83" t="n">
        <v>0.5600000000000001</v>
      </c>
      <c r="Q63" s="83" t="n">
        <v>0.91</v>
      </c>
      <c r="R63" s="83" t="n">
        <v>0.37</v>
      </c>
      <c r="S63" s="67" t="n">
        <v>140</v>
      </c>
      <c r="T63" s="67" t="inlineStr">
        <is>
          <t>above</t>
        </is>
      </c>
      <c r="U63" s="67" t="inlineStr">
        <is>
          <t>No</t>
        </is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>
        <v>-0.28</v>
      </c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>
        <v>122.850621579</v>
      </c>
      <c r="D64" s="84" t="n">
        <v>725.61</v>
      </c>
      <c r="E64" s="84">
        <f>IF(D64="","",D64*C64)</f>
        <v/>
      </c>
      <c r="F64" s="120">
        <f>IF(B64="","",E64/B64)</f>
        <v/>
      </c>
      <c r="G64" s="127" t="n">
        <v>250.933336979</v>
      </c>
      <c r="H64" s="67" t="n">
        <v>72.36</v>
      </c>
      <c r="I64" s="84">
        <f>IF(H64="","",H64*G64)</f>
        <v/>
      </c>
      <c r="J64" s="120">
        <f>IF(B64="","",I64/B64)</f>
        <v/>
      </c>
      <c r="K64" s="121">
        <f>IF(B64="","",F64+J64*3)</f>
        <v/>
      </c>
      <c r="L64" s="67" t="inlineStr">
        <is>
          <t>1.32x</t>
        </is>
      </c>
      <c r="M64" s="67" t="inlineStr">
        <is>
          <t>no change - hold current position</t>
        </is>
      </c>
      <c r="N64" s="67" t="inlineStr">
        <is>
          <t>1.29x</t>
        </is>
      </c>
      <c r="O64" s="122" t="n">
        <v>0.89</v>
      </c>
      <c r="P64" s="83" t="n">
        <v>0.54</v>
      </c>
      <c r="Q64" s="83" t="n">
        <v>0.91</v>
      </c>
      <c r="R64" s="83" t="n">
        <v>0.37</v>
      </c>
      <c r="S64" s="67" t="n">
        <v>141</v>
      </c>
      <c r="T64" s="67" t="inlineStr">
        <is>
          <t>above</t>
        </is>
      </c>
      <c r="U64" s="67" t="inlineStr">
        <is>
          <t>No</t>
        </is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>
        <v>-0.28</v>
      </c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>
        <v>122.850621579</v>
      </c>
      <c r="D65" s="84" t="n">
        <v>715.34</v>
      </c>
      <c r="E65" s="84">
        <f>IF(D65="","",D65*C65)</f>
        <v/>
      </c>
      <c r="F65" s="120">
        <f>IF(B65="","",E65/B65)</f>
        <v/>
      </c>
      <c r="G65" s="127" t="n">
        <v>250.933336979</v>
      </c>
      <c r="H65" s="67" t="n">
        <v>69.26000000000001</v>
      </c>
      <c r="I65" s="84">
        <f>IF(H65="","",H65*G65)</f>
        <v/>
      </c>
      <c r="J65" s="120">
        <f>IF(B65="","",I65/B65)</f>
        <v/>
      </c>
      <c r="K65" s="121">
        <f>IF(B65="","",F65+J65*3)</f>
        <v/>
      </c>
      <c r="L65" s="67" t="inlineStr">
        <is>
          <t>1.32x</t>
        </is>
      </c>
      <c r="M65" s="67" t="inlineStr">
        <is>
          <t>no change - hold current position</t>
        </is>
      </c>
      <c r="N65" s="67" t="inlineStr">
        <is>
          <t>1.29x</t>
        </is>
      </c>
      <c r="O65" s="122" t="n">
        <v>0.89</v>
      </c>
      <c r="P65" s="83" t="n">
        <v>0.54</v>
      </c>
      <c r="Q65" s="83" t="n">
        <v>0.91</v>
      </c>
      <c r="R65" s="83" t="n">
        <v>0.37</v>
      </c>
      <c r="S65" s="67" t="n">
        <v>142</v>
      </c>
      <c r="T65" s="67" t="inlineStr">
        <is>
          <t>above</t>
        </is>
      </c>
      <c r="U65" s="67" t="inlineStr">
        <is>
          <t>No</t>
        </is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>
        <v>-0.28</v>
      </c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>
        <v>122.850621579</v>
      </c>
      <c r="D66" s="84" t="n">
        <v>690.49</v>
      </c>
      <c r="E66" s="84">
        <f>IF(D66="","",D66*C66)</f>
        <v/>
      </c>
      <c r="F66" s="120">
        <f>IF(B66="","",E66/B66)</f>
        <v/>
      </c>
      <c r="G66" s="127" t="n">
        <v>250.933336979</v>
      </c>
      <c r="H66" t="n">
        <v>62.01</v>
      </c>
      <c r="I66" s="84">
        <f>IF(H66="","",H66*G66)</f>
        <v/>
      </c>
      <c r="J66" s="120">
        <f>IF(B66="","",I66/B66)</f>
        <v/>
      </c>
      <c r="K66" s="121">
        <f>IF(B66="","",F66+J66*3)</f>
        <v/>
      </c>
      <c r="L66" s="67" t="inlineStr">
        <is>
          <t>1.32x</t>
        </is>
      </c>
      <c r="M66" s="67" t="inlineStr">
        <is>
          <t>no change - hold current position</t>
        </is>
      </c>
      <c r="N66" s="67" t="inlineStr">
        <is>
          <t>1.25x</t>
        </is>
      </c>
      <c r="O66" s="122" t="n">
        <v>0.89</v>
      </c>
      <c r="P66" s="83" t="n">
        <v>0.55</v>
      </c>
      <c r="Q66" s="83" t="n">
        <v>0.91</v>
      </c>
      <c r="R66" s="83" t="n">
        <v>0.37</v>
      </c>
      <c r="S66" s="67" t="n">
        <v>143</v>
      </c>
      <c r="T66" s="67" t="inlineStr">
        <is>
          <t>above</t>
        </is>
      </c>
      <c r="U66" s="67" t="inlineStr">
        <is>
          <t>No</t>
        </is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>
        <v>-0.28</v>
      </c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L67" t="inlineStr">
        <is>
          <t>1.00x</t>
        </is>
      </c>
      <c r="M67" t="inlineStr">
        <is>
          <t>REBALANCE — 83.75% QQQ / 16.25% TQQQ → 100% QQQ</t>
        </is>
      </c>
      <c r="N67" t="inlineStr">
        <is>
          <t>1.07x</t>
        </is>
      </c>
      <c r="O67" s="122" t="n">
        <v>0.89</v>
      </c>
      <c r="P67" s="83" t="n">
        <v>0.64</v>
      </c>
      <c r="Q67" s="83" t="n">
        <v>0.91</v>
      </c>
      <c r="R67" s="83" t="n">
        <v>0.37</v>
      </c>
      <c r="S67" t="n">
        <v>144</v>
      </c>
      <c r="T67" t="inlineStr">
        <is>
          <t>above</t>
        </is>
      </c>
      <c r="U67" t="inlineStr">
        <is>
          <t>No</t>
        </is>
      </c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2026-10-31T00:05:47Z</dcterms:modified>
  <cp:lastModifiedBy>Marty O'Leary</cp:lastModifiedBy>
  <cp:revision>0</cp:revision>
</cp:coreProperties>
</file>