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Sheet1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%"/>
    <numFmt numFmtId="165" formatCode="m/d/yyyy"/>
    <numFmt numFmtId="166" formatCode="_(\$* #,##0.00_);_(\$* \(#,##0.00\);_(\$* \-??_);_(@_)"/>
    <numFmt numFmtId="167" formatCode="0.000"/>
    <numFmt numFmtId="168" formatCode="_(* #,##0.00_);_(* \(#,##0.00\);_(* \-??_);_(@_)"/>
    <numFmt numFmtId="169" formatCode="0.0"/>
  </numFmts>
  <fonts count="12">
    <font>
      <name val="Aptos Narrow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0"/>
      <b val="1"/>
      <sz val="14"/>
    </font>
    <font>
      <name val="Aptos Narrow"/>
      <charset val="1"/>
      <family val="0"/>
      <i val="1"/>
      <sz val="10"/>
    </font>
    <font>
      <name val="Aptos Narrow"/>
      <charset val="1"/>
      <family val="0"/>
      <b val="1"/>
      <sz val="12"/>
    </font>
    <font>
      <name val="Aptos Narrow"/>
      <charset val="1"/>
      <family val="0"/>
      <sz val="12"/>
    </font>
    <font>
      <name val="Aptos Narrow"/>
      <charset val="1"/>
      <family val="0"/>
      <i val="1"/>
      <sz val="9"/>
    </font>
    <font>
      <name val="Aptos Narrow"/>
      <charset val="1"/>
      <family val="0"/>
      <b val="1"/>
      <color theme="1"/>
      <sz val="12"/>
    </font>
    <font>
      <name val="Arial"/>
      <family val="2"/>
      <sz val="10"/>
    </font>
    <font>
      <name val="Aptos Narrow"/>
      <charset val="1"/>
      <family val="0"/>
      <i val="1"/>
      <sz val="12"/>
    </font>
  </fonts>
  <fills count="14">
    <fill>
      <patternFill/>
    </fill>
    <fill>
      <patternFill patternType="gray125"/>
    </fill>
    <fill>
      <patternFill patternType="solid">
        <fgColor theme="0" tint="-0.15"/>
        <bgColor rgb="FFD1D1D1"/>
      </patternFill>
    </fill>
    <fill>
      <patternFill patternType="solid">
        <fgColor rgb="FFEDEDED"/>
        <bgColor rgb="FFDCEAF7"/>
      </patternFill>
    </fill>
    <fill>
      <patternFill patternType="solid">
        <fgColor theme="2" tint="-0.1"/>
        <bgColor rgb="FFD9D9D9"/>
      </patternFill>
    </fill>
    <fill>
      <patternFill patternType="solid">
        <fgColor theme="3" tint="0.8999"/>
        <bgColor rgb="FFEDEDED"/>
      </patternFill>
    </fill>
    <fill>
      <patternFill patternType="solid">
        <fgColor theme="3" tint="0.7498"/>
        <bgColor rgb="FFD1D1D1"/>
      </patternFill>
    </fill>
    <fill>
      <patternFill patternType="solid">
        <fgColor theme="6" tint="0.7998"/>
        <bgColor rgb="FFD9F2D0"/>
      </patternFill>
    </fill>
    <fill>
      <patternFill patternType="solid">
        <fgColor theme="6" tint="0.5998"/>
        <bgColor rgb="FFA6CAEC"/>
      </patternFill>
    </fill>
    <fill>
      <patternFill patternType="solid">
        <fgColor theme="7" tint="0.7998"/>
        <bgColor rgb="FFDCEAF7"/>
      </patternFill>
    </fill>
    <fill>
      <patternFill patternType="solid">
        <fgColor theme="5" tint="0.7998"/>
        <bgColor rgb="FFEDEDED"/>
      </patternFill>
    </fill>
    <fill>
      <patternFill patternType="solid">
        <fgColor theme="9" tint="0.7998"/>
        <bgColor rgb="FFC2F1C8"/>
      </patternFill>
    </fill>
    <fill>
      <patternFill patternType="solid">
        <fgColor rgb="FF73FEFF"/>
        <bgColor rgb="FF84E291"/>
      </patternFill>
    </fill>
    <fill>
      <patternFill patternType="solid">
        <fgColor rgb="FFFFF7E9"/>
        <bgColor rgb="FFEDEDED"/>
      </patternFill>
    </fill>
  </fills>
  <borders count="14">
    <border>
      <left/>
      <right/>
      <top/>
      <bottom/>
      <diagonal/>
    </border>
    <border>
      <left style="thin">
        <color theme="1" tint="0.3498"/>
      </left>
      <right/>
      <top/>
      <bottom/>
      <diagonal/>
    </border>
    <border>
      <left style="thin"/>
      <right style="thin">
        <color theme="1" tint="0.3498"/>
      </right>
      <top/>
      <bottom/>
      <diagonal/>
    </border>
    <border>
      <left style="thin"/>
      <right/>
      <top/>
      <bottom/>
      <diagonal/>
    </border>
    <border>
      <left style="thin"/>
      <right style="thin"/>
      <top style="thin"/>
      <bottom/>
      <diagonal/>
    </border>
    <border>
      <left/>
      <right style="thin">
        <color theme="1" tint="0.3498"/>
      </right>
      <top/>
      <bottom style="thin">
        <color theme="1" tint="0.3498"/>
      </bottom>
      <diagonal/>
    </border>
    <border>
      <left style="thin">
        <color theme="1" tint="0.3498"/>
      </left>
      <right style="thin">
        <color theme="1" tint="0.3498"/>
      </right>
      <top/>
      <bottom style="thin">
        <color theme="1" tint="0.3498"/>
      </bottom>
      <diagonal/>
    </border>
    <border>
      <left style="thin"/>
      <right style="thin">
        <color theme="1" tint="0.3498"/>
      </right>
      <top/>
      <bottom style="thin">
        <color theme="1" tint="0.3498"/>
      </bottom>
      <diagonal/>
    </border>
    <border>
      <left style="thin">
        <color theme="1" tint="0.3498"/>
      </left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>
        <color theme="1" tint="0.3498"/>
      </right>
      <top/>
      <bottom/>
      <diagonal/>
    </border>
    <border>
      <left/>
      <right/>
      <top/>
      <bottom style="thin">
        <color theme="1" tint="0.3498"/>
      </bottom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6" fontId="0" fillId="0" borderId="0" applyAlignment="1">
      <alignment horizontal="general" vertical="bottom"/>
    </xf>
    <xf numFmtId="42" fontId="3" fillId="0" borderId="0"/>
    <xf numFmtId="9" fontId="0" fillId="0" borderId="0" applyAlignment="1">
      <alignment horizontal="general" vertical="bottom"/>
    </xf>
  </cellStyleXfs>
  <cellXfs count="13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10" fontId="7" fillId="0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17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9" fillId="2" borderId="4" applyAlignment="1" pivotButton="0" quotePrefix="0" xfId="0">
      <alignment horizontal="center" vertical="bottom" wrapText="1"/>
    </xf>
    <xf numFmtId="0" fontId="0" fillId="0" borderId="5" applyAlignment="1" pivotButton="0" quotePrefix="0" xfId="0">
      <alignment horizontal="center" vertical="bottom" wrapText="1"/>
    </xf>
    <xf numFmtId="0" fontId="0" fillId="0" borderId="6" applyAlignment="1" pivotButton="0" quotePrefix="0" xfId="0">
      <alignment horizontal="center" vertical="bottom" wrapText="1"/>
    </xf>
    <xf numFmtId="0" fontId="0" fillId="0" borderId="7" applyAlignment="1" pivotButton="0" quotePrefix="0" xfId="0">
      <alignment horizontal="general" vertical="bottom" wrapText="1"/>
    </xf>
    <xf numFmtId="0" fontId="0" fillId="0" borderId="8" applyAlignment="1" pivotButton="0" quotePrefix="0" xfId="0">
      <alignment horizontal="center" vertical="bottom" wrapText="1"/>
    </xf>
    <xf numFmtId="0" fontId="0" fillId="0" borderId="9" applyAlignment="1" pivotButton="0" quotePrefix="0" xfId="0">
      <alignment horizontal="general" vertical="bottom" wrapText="1"/>
    </xf>
    <xf numFmtId="0" fontId="6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 wrapText="1"/>
    </xf>
    <xf numFmtId="0" fontId="0" fillId="2" borderId="10" applyAlignment="1" pivotButton="0" quotePrefix="0" xfId="0">
      <alignment horizontal="general" vertical="bottom"/>
    </xf>
    <xf numFmtId="0" fontId="0" fillId="4" borderId="0" applyAlignment="1" pivotButton="0" quotePrefix="0" xfId="0">
      <alignment horizontal="right" vertical="bottom"/>
    </xf>
    <xf numFmtId="2" fontId="0" fillId="5" borderId="0" applyAlignment="1" pivotButton="0" quotePrefix="0" xfId="0">
      <alignment horizontal="right" vertical="bottom"/>
    </xf>
    <xf numFmtId="0" fontId="0" fillId="6" borderId="0" applyAlignment="1" pivotButton="0" quotePrefix="0" xfId="0">
      <alignment horizontal="right" vertical="bottom"/>
    </xf>
    <xf numFmtId="0" fontId="0" fillId="5" borderId="0" applyAlignment="1" pivotButton="0" quotePrefix="0" xfId="0">
      <alignment horizontal="center" vertical="bottom"/>
    </xf>
    <xf numFmtId="2" fontId="0" fillId="7" borderId="0" applyAlignment="1" pivotButton="0" quotePrefix="0" xfId="0">
      <alignment horizontal="right" vertical="bottom"/>
    </xf>
    <xf numFmtId="166" fontId="0" fillId="8" borderId="0" applyAlignment="1" pivotButton="0" quotePrefix="0" xfId="17">
      <alignment horizontal="right" vertical="bottom"/>
    </xf>
    <xf numFmtId="0" fontId="0" fillId="7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0" fillId="10" borderId="2" applyAlignment="1" pivotButton="0" quotePrefix="0" xfId="0">
      <alignment horizontal="general" vertical="bottom"/>
    </xf>
    <xf numFmtId="0" fontId="0" fillId="11" borderId="1" applyAlignment="1" pivotButton="0" quotePrefix="0" xfId="0">
      <alignment horizontal="right" vertical="bottom"/>
    </xf>
    <xf numFmtId="0" fontId="0" fillId="11" borderId="0" applyAlignment="1" pivotButton="0" quotePrefix="0" xfId="0">
      <alignment horizontal="right" vertical="bottom"/>
    </xf>
    <xf numFmtId="0" fontId="0" fillId="11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center" vertical="bottom"/>
    </xf>
    <xf numFmtId="0" fontId="0" fillId="12" borderId="9" applyAlignment="1" pivotButton="0" quotePrefix="0" xfId="0">
      <alignment horizontal="general" vertical="bottom"/>
    </xf>
    <xf numFmtId="0" fontId="6" fillId="3" borderId="3" applyAlignment="1" pivotButton="0" quotePrefix="0" xfId="0">
      <alignment horizontal="center" vertical="bottom"/>
    </xf>
    <xf numFmtId="0" fontId="6" fillId="3" borderId="0" applyAlignment="1" pivotButton="0" quotePrefix="0" xfId="0">
      <alignment horizontal="center" vertical="bottom"/>
    </xf>
    <xf numFmtId="0" fontId="6" fillId="13" borderId="0" applyAlignment="1" pivotButton="0" quotePrefix="0" xfId="0">
      <alignment horizontal="center" vertical="bottom"/>
    </xf>
    <xf numFmtId="165" fontId="0" fillId="0" borderId="0" applyAlignment="1" pivotButton="0" quotePrefix="0" xfId="0">
      <alignment horizontal="general" vertical="bottom"/>
    </xf>
    <xf numFmtId="166" fontId="0" fillId="0" borderId="1" applyAlignment="1" pivotButton="0" quotePrefix="0" xfId="17">
      <alignment horizontal="general" vertical="bottom"/>
    </xf>
    <xf numFmtId="2" fontId="0" fillId="0" borderId="0" applyAlignment="1" pivotButton="0" quotePrefix="0" xfId="17">
      <alignment horizontal="general" vertical="bottom"/>
    </xf>
    <xf numFmtId="10" fontId="0" fillId="0" borderId="0" applyAlignment="1" pivotButton="0" quotePrefix="0" xfId="19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2" fontId="0" fillId="0" borderId="1" applyAlignment="1" pivotButton="0" quotePrefix="0" xfId="0">
      <alignment horizontal="general" vertical="bottom"/>
    </xf>
    <xf numFmtId="10" fontId="7" fillId="0" borderId="3" applyAlignment="1" pivotButton="0" quotePrefix="0" xfId="0">
      <alignment horizontal="general" vertical="bottom"/>
    </xf>
    <xf numFmtId="2" fontId="7" fillId="13" borderId="0" applyAlignment="1" pivotButton="0" quotePrefix="0" xfId="0">
      <alignment horizontal="general" vertical="bottom"/>
    </xf>
    <xf numFmtId="166" fontId="7" fillId="13" borderId="0" applyAlignment="1" pivotButton="0" quotePrefix="0" xfId="0">
      <alignment horizontal="general" vertical="bottom"/>
    </xf>
    <xf numFmtId="0" fontId="7" fillId="13" borderId="0" applyAlignment="1" pivotButton="0" quotePrefix="0" xfId="0">
      <alignment horizontal="general" vertical="bottom"/>
    </xf>
    <xf numFmtId="2" fontId="0" fillId="0" borderId="0" applyAlignment="1" pivotButton="0" quotePrefix="0" xfId="19">
      <alignment horizontal="general" vertical="bottom"/>
    </xf>
    <xf numFmtId="165" fontId="0" fillId="0" borderId="1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9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10" fontId="7" fillId="0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17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9" fillId="2" borderId="4" applyAlignment="1" pivotButton="0" quotePrefix="0" xfId="0">
      <alignment horizontal="center" vertical="bottom" wrapText="1"/>
    </xf>
    <xf numFmtId="0" fontId="0" fillId="0" borderId="5" applyAlignment="1" pivotButton="0" quotePrefix="0" xfId="0">
      <alignment horizontal="center" vertical="bottom" wrapText="1"/>
    </xf>
    <xf numFmtId="0" fontId="0" fillId="0" borderId="12" pivotButton="0" quotePrefix="0" xfId="0"/>
    <xf numFmtId="0" fontId="0" fillId="0" borderId="5" pivotButton="0" quotePrefix="0" xfId="0"/>
    <xf numFmtId="0" fontId="0" fillId="0" borderId="6" applyAlignment="1" pivotButton="0" quotePrefix="0" xfId="0">
      <alignment horizontal="center" vertical="bottom" wrapText="1"/>
    </xf>
    <xf numFmtId="0" fontId="0" fillId="0" borderId="7" applyAlignment="1" pivotButton="0" quotePrefix="0" xfId="0">
      <alignment horizontal="general" vertical="bottom" wrapText="1"/>
    </xf>
    <xf numFmtId="0" fontId="0" fillId="0" borderId="8" applyAlignment="1" pivotButton="0" quotePrefix="0" xfId="0">
      <alignment horizontal="center" vertical="bottom" wrapText="1"/>
    </xf>
    <xf numFmtId="0" fontId="0" fillId="0" borderId="13" pivotButton="0" quotePrefix="0" xfId="0"/>
    <xf numFmtId="0" fontId="0" fillId="0" borderId="9" applyAlignment="1" pivotButton="0" quotePrefix="0" xfId="0">
      <alignment horizontal="general" vertical="bottom" wrapText="1"/>
    </xf>
    <xf numFmtId="0" fontId="6" fillId="3" borderId="0" applyAlignment="1" pivotButton="0" quotePrefix="0" xfId="0">
      <alignment horizontal="center" vertical="bottom"/>
    </xf>
    <xf numFmtId="0" fontId="0" fillId="2" borderId="10" applyAlignment="1" pivotButton="0" quotePrefix="0" xfId="0">
      <alignment horizontal="general" vertical="bottom"/>
    </xf>
    <xf numFmtId="0" fontId="0" fillId="4" borderId="0" applyAlignment="1" pivotButton="0" quotePrefix="0" xfId="0">
      <alignment horizontal="right" vertical="bottom"/>
    </xf>
    <xf numFmtId="2" fontId="0" fillId="5" borderId="0" applyAlignment="1" pivotButton="0" quotePrefix="0" xfId="0">
      <alignment horizontal="right" vertical="bottom"/>
    </xf>
    <xf numFmtId="0" fontId="0" fillId="6" borderId="0" applyAlignment="1" pivotButton="0" quotePrefix="0" xfId="0">
      <alignment horizontal="right" vertical="bottom"/>
    </xf>
    <xf numFmtId="0" fontId="0" fillId="5" borderId="0" applyAlignment="1" pivotButton="0" quotePrefix="0" xfId="0">
      <alignment horizontal="center" vertical="bottom"/>
    </xf>
    <xf numFmtId="2" fontId="0" fillId="7" borderId="0" applyAlignment="1" pivotButton="0" quotePrefix="0" xfId="0">
      <alignment horizontal="right" vertical="bottom"/>
    </xf>
    <xf numFmtId="166" fontId="0" fillId="8" borderId="0" applyAlignment="1" pivotButton="0" quotePrefix="0" xfId="17">
      <alignment horizontal="right" vertical="bottom"/>
    </xf>
    <xf numFmtId="0" fontId="0" fillId="7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0" fillId="10" borderId="2" applyAlignment="1" pivotButton="0" quotePrefix="0" xfId="0">
      <alignment horizontal="general" vertical="bottom"/>
    </xf>
    <xf numFmtId="0" fontId="0" fillId="11" borderId="1" applyAlignment="1" pivotButton="0" quotePrefix="0" xfId="0">
      <alignment horizontal="right" vertical="bottom"/>
    </xf>
    <xf numFmtId="0" fontId="0" fillId="11" borderId="0" applyAlignment="1" pivotButton="0" quotePrefix="0" xfId="0">
      <alignment horizontal="right" vertical="bottom"/>
    </xf>
    <xf numFmtId="0" fontId="0" fillId="11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center" vertical="bottom"/>
    </xf>
    <xf numFmtId="0" fontId="0" fillId="12" borderId="9" applyAlignment="1" pivotButton="0" quotePrefix="0" xfId="0">
      <alignment horizontal="general" vertical="bottom"/>
    </xf>
    <xf numFmtId="0" fontId="6" fillId="3" borderId="3" applyAlignment="1" pivotButton="0" quotePrefix="0" xfId="0">
      <alignment horizontal="center" vertical="bottom"/>
    </xf>
    <xf numFmtId="0" fontId="6" fillId="13" borderId="0" applyAlignment="1" pivotButton="0" quotePrefix="0" xfId="0">
      <alignment horizontal="center" vertical="bottom"/>
    </xf>
    <xf numFmtId="165" fontId="0" fillId="0" borderId="0" applyAlignment="1" pivotButton="0" quotePrefix="0" xfId="0">
      <alignment horizontal="general" vertical="bottom"/>
    </xf>
    <xf numFmtId="166" fontId="0" fillId="0" borderId="1" applyAlignment="1" pivotButton="0" quotePrefix="0" xfId="17">
      <alignment horizontal="general" vertical="bottom"/>
    </xf>
    <xf numFmtId="2" fontId="0" fillId="0" borderId="0" applyAlignment="1" pivotButton="0" quotePrefix="0" xfId="17">
      <alignment horizontal="general" vertical="bottom"/>
    </xf>
    <xf numFmtId="10" fontId="0" fillId="0" borderId="0" applyAlignment="1" pivotButton="0" quotePrefix="0" xfId="19">
      <alignment horizontal="general" vertical="bottom"/>
    </xf>
    <xf numFmtId="167" fontId="0" fillId="0" borderId="0" applyAlignment="1" pivotButton="0" quotePrefix="0" xfId="0">
      <alignment horizontal="general" vertical="bottom"/>
    </xf>
    <xf numFmtId="2" fontId="0" fillId="0" borderId="1" applyAlignment="1" pivotButton="0" quotePrefix="0" xfId="0">
      <alignment horizontal="general" vertical="bottom"/>
    </xf>
    <xf numFmtId="10" fontId="7" fillId="0" borderId="3" applyAlignment="1" pivotButton="0" quotePrefix="0" xfId="0">
      <alignment horizontal="general" vertical="bottom"/>
    </xf>
    <xf numFmtId="2" fontId="7" fillId="13" borderId="0" applyAlignment="1" pivotButton="0" quotePrefix="0" xfId="0">
      <alignment horizontal="general" vertical="bottom"/>
    </xf>
    <xf numFmtId="166" fontId="7" fillId="13" borderId="0" applyAlignment="1" pivotButton="0" quotePrefix="0" xfId="0">
      <alignment horizontal="general" vertical="bottom"/>
    </xf>
    <xf numFmtId="0" fontId="7" fillId="13" borderId="0" applyAlignment="1" pivotButton="0" quotePrefix="0" xfId="0">
      <alignment horizontal="general" vertical="bottom"/>
    </xf>
    <xf numFmtId="2" fontId="0" fillId="0" borderId="0" applyAlignment="1" pivotButton="0" quotePrefix="0" xfId="19">
      <alignment horizontal="general" vertical="bottom"/>
    </xf>
    <xf numFmtId="165" fontId="0" fillId="0" borderId="1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9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7E9"/>
      <rgbColor rgb="FFFF0000"/>
      <rgbColor rgb="FF00FF00"/>
      <rgbColor rgb="FF0000FF"/>
      <rgbColor rgb="FFFFFF00"/>
      <rgbColor rgb="FFFF00FF"/>
      <rgbColor rgb="FF73FE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EDEDED"/>
      <rgbColor rgb="FFCAEEFB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7"/>
      <rgbColor rgb="FFC2F1C8"/>
      <rgbColor rgb="FFD9F2D0"/>
      <rgbColor rgb="FFA6CAEC"/>
      <rgbColor rgb="FFFF99CC"/>
      <rgbColor rgb="FFCC99FF"/>
      <rgbColor rgb="FFFBE3D6"/>
      <rgbColor rgb="FF3366FF"/>
      <rgbColor rgb="FF84E291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Unknown Author</author>
  </authors>
  <commentList>
    <comment ref="M45" authorId="0" shapeId="0">
      <text>
        <t>Corrected 10/3/2026. Original text duplicated the 9/22 label. Weights from fragility-monitor/pending_order_v33.submitted.json: positions at stage 73.85/26.15, target 68.51/31.49 (1.6297x).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7"/>
  <sheetViews>
    <sheetView showFormulas="0" showGridLines="1" showRowColHeaders="1" showZeros="1" rightToLeft="0" tabSelected="1" showOutlineSymbols="1" defaultGridColor="1" view="normal" topLeftCell="A1" colorId="64" zoomScale="184" zoomScaleNormal="184" zoomScalePageLayoutView="100" workbookViewId="0">
      <selection pane="topLeft" activeCell="D16" activeCellId="0" sqref="D16"/>
    </sheetView>
  </sheetViews>
  <sheetFormatPr baseColWidth="8" defaultColWidth="8.50390625" defaultRowHeight="15.75" zeroHeight="0" outlineLevelRow="0"/>
  <cols>
    <col width="32" customWidth="1" style="67" min="1" max="1"/>
    <col width="16" customWidth="1" style="67" min="2" max="2"/>
  </cols>
  <sheetData>
    <row r="1" ht="18.75" customHeight="1" s="68">
      <c r="A1" s="69" t="inlineStr">
        <is>
          <t>Modern Edge® Tactical v3.3 — Live Paper Track Record</t>
        </is>
      </c>
    </row>
    <row r="2" ht="15.75" customHeight="1" s="68">
      <c r="A2" s="70" t="inlineStr">
        <is>
          <t>Auto-computed from Sheet1.</t>
        </is>
      </c>
    </row>
    <row r="3" ht="15.75" customHeight="1" s="68">
      <c r="A3" s="70" t="inlineStr">
        <is>
          <t>Record from the 8/3/2026 close (v3.3 inception); the account was funded 7/27 under v3.1. Positions, closes and cash rebuilt from Alpaca 10/3/2026: account value matches Alpaca daily equity to the cent.</t>
        </is>
      </c>
      <c r="E3" s="71" t="n"/>
    </row>
    <row r="4" ht="15.75" customHeight="1" s="68">
      <c r="A4" s="72" t="inlineStr">
        <is>
          <t>Live</t>
        </is>
      </c>
    </row>
    <row r="5" ht="15.75" customHeight="1" s="68">
      <c r="A5" s="73" t="inlineStr">
        <is>
          <t>Start date</t>
        </is>
      </c>
      <c r="B5" s="74">
        <f>Sheet1!A3</f>
        <v/>
      </c>
      <c r="E5" s="75" t="n"/>
    </row>
    <row r="6" ht="15.75" customHeight="1" s="68">
      <c r="A6" s="73" t="inlineStr">
        <is>
          <t>Latest date</t>
        </is>
      </c>
      <c r="B6" s="74">
        <f>INDEX(Sheet1!$A$3:$A$385,COUNT(Sheet1!$B$3:$B$387))</f>
        <v/>
      </c>
      <c r="E6" s="76" t="n"/>
    </row>
    <row r="7" ht="15.75" customHeight="1" s="68">
      <c r="A7" s="73" t="inlineStr">
        <is>
          <t>Trading days logged</t>
        </is>
      </c>
      <c r="B7" s="77">
        <f>COUNT(Sheet1!$B$3:$B$387)</f>
        <v/>
      </c>
      <c r="E7" s="75" t="n"/>
    </row>
    <row r="8" ht="15.75" customHeight="1" s="68">
      <c r="A8" s="73" t="inlineStr">
        <is>
          <t>Starting value</t>
        </is>
      </c>
      <c r="B8" s="78">
        <f>Sheet1!$B$3</f>
        <v/>
      </c>
      <c r="E8" s="75" t="n"/>
    </row>
    <row r="9" ht="15.75" customHeight="1" s="68">
      <c r="A9" s="73" t="inlineStr">
        <is>
          <t>Current value</t>
        </is>
      </c>
      <c r="B9" s="78">
        <f>INDEX(Sheet1!$B$3:$B$387,COUNT(Sheet1!$B$3:$B$387))</f>
        <v/>
      </c>
      <c r="E9" s="76" t="n"/>
    </row>
    <row r="10" ht="15.75" customHeight="1" s="68">
      <c r="A10" s="73" t="inlineStr">
        <is>
          <t>Cumulative return</t>
        </is>
      </c>
      <c r="B10" s="79">
        <f>INDEX(Sheet1!$B$3:$B$387,COUNT(Sheet1!$B$3:$B$387))/Sheet1!$B$3-1</f>
        <v/>
      </c>
      <c r="E10" s="75" t="n"/>
    </row>
    <row r="11" ht="15.75" customHeight="1" s="68">
      <c r="A11" s="73" t="inlineStr">
        <is>
          <t>Annualized (CAGR)</t>
        </is>
      </c>
      <c r="B11" s="79">
        <f>(INDEX(Sheet1!$B$3:$B$387,COUNT(Sheet1!$B$3:$B$387))/Sheet1!$B$3)^(252/COUNT(Sheet1!$B$3:$B$387))-1</f>
        <v/>
      </c>
    </row>
    <row r="12" ht="15.75" customHeight="1" s="68">
      <c r="A12" s="73" t="inlineStr">
        <is>
          <t>Annualized volatility</t>
        </is>
      </c>
      <c r="B12" s="79">
        <f>STDEV(Sheet1!$V$4:$V$387)*SQRT(252)</f>
        <v/>
      </c>
    </row>
    <row r="13" ht="15.75" customHeight="1" s="68">
      <c r="A13" s="73" t="inlineStr">
        <is>
          <t>Sharpe (rf=0)</t>
        </is>
      </c>
      <c r="B13" s="80">
        <f>IFERROR(AVERAGE(Sheet1!$V$4:$V$387)*252/(STDEV(Sheet1!$V$4:$V$387)*SQRT(252)),"")</f>
        <v/>
      </c>
    </row>
    <row r="14" ht="15.75" customHeight="1" s="68">
      <c r="A14" s="73" t="inlineStr">
        <is>
          <t>Max drawdown</t>
        </is>
      </c>
      <c r="B14" s="79">
        <f>MIN(Sheet1!$Y$3:$Y$387)</f>
        <v/>
      </c>
    </row>
    <row r="15" ht="15.75" customHeight="1" s="68">
      <c r="A15" s="73" t="inlineStr">
        <is>
          <t>Current drawdown</t>
        </is>
      </c>
      <c r="B15" s="79">
        <f>INDEX(Sheet1!$Y$3:$Y$387,COUNT(Sheet1!$B$3:$B$387))</f>
        <v/>
      </c>
    </row>
    <row r="16" ht="15.75" customHeight="1" s="68">
      <c r="A16" s="73" t="inlineStr">
        <is>
          <t>Best day</t>
        </is>
      </c>
      <c r="B16" s="79">
        <f>MAX(Sheet1!$V$4:$V$387)</f>
        <v/>
      </c>
    </row>
    <row r="17" ht="15.75" customHeight="1" s="68">
      <c r="A17" s="73" t="inlineStr">
        <is>
          <t>Worst day</t>
        </is>
      </c>
      <c r="B17" s="79">
        <f>MIN(Sheet1!$V$4:$V$387)</f>
        <v/>
      </c>
    </row>
    <row r="18" ht="15.75" customHeight="1" s="68">
      <c r="A18" s="73" t="inlineStr">
        <is>
          <t>% up days</t>
        </is>
      </c>
      <c r="B18" s="79">
        <f>IFERROR(COUNTIF(Sheet1!$V$4:$V$387,"&gt;0")/COUNT(Sheet1!$V$4:$V$387),"")</f>
        <v/>
      </c>
    </row>
    <row r="19" ht="15.75" customHeight="1" s="68">
      <c r="A19" s="73" t="inlineStr">
        <is>
          <t>Time in cash (lev &lt; 0.1x)</t>
        </is>
      </c>
      <c r="B19" s="79">
        <f>IFERROR(COUNTIF(Sheet1!$K$3:$K$387,"&lt;0.1")/COUNT(Sheet1!$B$3:$B$387),"")</f>
        <v/>
      </c>
    </row>
    <row r="20" ht="15.75" customHeight="1" s="68">
      <c r="A20" s="73" t="inlineStr">
        <is>
          <t>Excess vs buy &amp; hold QQQ</t>
        </is>
      </c>
      <c r="B20" s="79">
        <f>INDEX(Sheet1!$AB$3:$AB$387,COUNT(Sheet1!$B$3:$B$387))</f>
        <v/>
      </c>
    </row>
    <row r="22" ht="15.75" customHeight="1" s="68">
      <c r="A22" s="72" t="inlineStr">
        <is>
          <t>Backtest reference (1986–2026, hypothetical)</t>
        </is>
      </c>
    </row>
    <row r="23" ht="15.75" customHeight="1" s="68">
      <c r="A23" s="73" t="inlineStr">
        <is>
          <t>Annualized (CAGR)</t>
        </is>
      </c>
      <c r="B23" s="79" t="n">
        <v>0.206</v>
      </c>
    </row>
    <row r="24" ht="15.75" customHeight="1" s="68">
      <c r="A24" s="73" t="inlineStr">
        <is>
          <t>Sharpe</t>
        </is>
      </c>
      <c r="B24" s="80" t="n">
        <v>0.83</v>
      </c>
    </row>
    <row r="25" ht="15.75" customHeight="1" s="68">
      <c r="A25" s="73" t="inlineStr">
        <is>
          <t>Max drawdown</t>
        </is>
      </c>
      <c r="B25" s="79" t="n">
        <v>-0.31</v>
      </c>
    </row>
    <row r="27" ht="15.75" customHeight="1" s="68">
      <c r="A27" s="81" t="inlineStr">
        <is>
          <t>Legend — Sheet1 inputs you fill (amber): SGOV shares/price, cash, reported equity, traded?, emergency day, notes. Everything else auto-computes. To add a day, copy the last data row down.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J139"/>
  <sheetViews>
    <sheetView showFormulas="0" showGridLines="1" showRowColHeaders="1" showZeros="1" rightToLeft="0" tabSelected="0" showOutlineSymbols="1" defaultGridColor="1" view="normal" topLeftCell="P1" colorId="64" zoomScale="114" zoomScaleNormal="114" zoomScalePageLayoutView="100" workbookViewId="0">
      <pane xSplit="0" ySplit="2" topLeftCell="A20" activePane="bottomLeft" state="frozen"/>
      <selection pane="topLeft" activeCell="P1" activeCellId="0" sqref="P1"/>
      <selection pane="bottomLeft" activeCell="AF55" activeCellId="0" sqref="AF55"/>
    </sheetView>
  </sheetViews>
  <sheetFormatPr baseColWidth="8" defaultColWidth="10.50390625" defaultRowHeight="15.75" zeroHeight="0" outlineLevelRow="0"/>
  <cols>
    <col width="12.67" customWidth="1" style="67" min="1" max="1"/>
    <col width="12.83" customWidth="1" style="82" min="2" max="2"/>
    <col width="8.16" customWidth="1" style="83" min="3" max="3"/>
    <col width="10.67" customWidth="1" style="67" min="4" max="4"/>
    <col width="13" customWidth="1" style="84" min="5" max="5"/>
    <col width="8.83" customWidth="1" style="67" min="6" max="6"/>
    <col width="9.5" customWidth="1" style="83" min="7" max="7"/>
    <col width="10.5" customWidth="1" style="84" min="8" max="8"/>
    <col width="11.67" customWidth="1" style="84" min="9" max="9"/>
    <col width="8.5" customWidth="1" style="67" min="10" max="10"/>
    <col width="11.16" customWidth="1" style="67" min="11" max="11"/>
    <col width="10.83" customWidth="1" style="82" min="12" max="12"/>
    <col width="32.33" customWidth="1" style="67" min="13" max="13"/>
    <col width="18.67" customWidth="1" style="85" min="14" max="14"/>
    <col width="10.83" customWidth="1" style="82" min="15" max="15"/>
    <col width="10.83" customWidth="1" style="67" min="16" max="16"/>
    <col width="14.83" customWidth="1" style="67" min="17" max="17"/>
    <col width="14.5" customWidth="1" style="67" min="18" max="18"/>
    <col width="10.83" customWidth="1" style="67" min="19" max="20"/>
    <col width="13.33" customWidth="1" style="86" min="21" max="21"/>
    <col width="13" customWidth="1" style="86" min="22" max="22"/>
    <col width="15" customWidth="1" style="67" min="23" max="23"/>
    <col width="14" customWidth="1" style="67" min="24" max="24"/>
    <col width="11" customWidth="1" style="67" min="25" max="25"/>
    <col width="15" customWidth="1" style="67" min="26" max="26"/>
    <col width="14" customWidth="1" style="67" min="27" max="27"/>
    <col width="13" customWidth="1" style="67" min="28" max="28"/>
    <col width="11" customWidth="1" style="67" min="29" max="30"/>
    <col width="13" customWidth="1" style="67" min="31" max="31"/>
    <col width="11" customWidth="1" style="67" min="32" max="34"/>
    <col width="13" customWidth="1" style="67" min="35" max="35"/>
    <col width="30" customWidth="1" style="67" min="36" max="36"/>
  </cols>
  <sheetData>
    <row r="1" ht="57.75" customFormat="1" customHeight="1" s="87">
      <c r="A1" s="88" t="inlineStr">
        <is>
          <t>Modern Edge® Tactical v3.3</t>
        </is>
      </c>
      <c r="B1" s="89" t="inlineStr">
        <is>
          <t>Portfolio values</t>
        </is>
      </c>
      <c r="C1" s="90" t="n"/>
      <c r="D1" s="90" t="n"/>
      <c r="E1" s="90" t="n"/>
      <c r="F1" s="90" t="n"/>
      <c r="G1" s="90" t="n"/>
      <c r="H1" s="90" t="n"/>
      <c r="I1" s="90" t="n"/>
      <c r="J1" s="90" t="n"/>
      <c r="K1" s="91" t="n"/>
      <c r="L1" s="92" t="inlineStr">
        <is>
          <t>recommendations as of previous close</t>
        </is>
      </c>
      <c r="M1" s="91" t="n"/>
      <c r="N1" s="93" t="inlineStr">
        <is>
          <t>Daily trend Monitor</t>
        </is>
      </c>
      <c r="O1" s="94" t="inlineStr">
        <is>
          <t>Monitor values as of previous close</t>
        </is>
      </c>
      <c r="P1" s="95" t="n"/>
      <c r="Q1" s="95" t="n"/>
      <c r="R1" s="95" t="n"/>
      <c r="S1" s="95" t="n"/>
      <c r="T1" s="95" t="n"/>
      <c r="U1" s="96" t="inlineStr">
        <is>
          <t>Emergency Exit</t>
        </is>
      </c>
      <c r="V1" s="97" t="inlineStr">
        <is>
          <t>Performance</t>
        </is>
      </c>
      <c r="Z1" s="97" t="inlineStr">
        <is>
          <t>Benchmark · buy &amp; hold QQQ</t>
        </is>
      </c>
      <c r="AC1" s="97" t="inlineStr">
        <is>
          <t>Cash sleeve (SGOV) — fill when in cash</t>
        </is>
      </c>
      <c r="AH1" s="97" t="n"/>
    </row>
    <row r="2" ht="15.75" customHeight="1" s="68">
      <c r="A2" s="98" t="n"/>
      <c r="B2" s="99" t="inlineStr">
        <is>
          <t>acct value</t>
        </is>
      </c>
      <c r="C2" s="100" t="inlineStr">
        <is>
          <t>shares</t>
        </is>
      </c>
      <c r="D2" s="101" t="inlineStr">
        <is>
          <t>close price</t>
        </is>
      </c>
      <c r="E2" s="102" t="inlineStr">
        <is>
          <t>qqq</t>
        </is>
      </c>
      <c r="G2" s="103" t="inlineStr">
        <is>
          <t>shares</t>
        </is>
      </c>
      <c r="H2" s="104" t="inlineStr">
        <is>
          <t>close price</t>
        </is>
      </c>
      <c r="I2" s="105" t="inlineStr">
        <is>
          <t>tqqq</t>
        </is>
      </c>
      <c r="K2" s="106" t="inlineStr">
        <is>
          <t>live leverage</t>
        </is>
      </c>
      <c r="L2" s="107" t="inlineStr">
        <is>
          <t>daily rec</t>
        </is>
      </c>
      <c r="M2" s="108" t="inlineStr">
        <is>
          <t>live recommendation</t>
        </is>
      </c>
      <c r="N2" s="109" t="inlineStr">
        <is>
          <t>leverage tv wants</t>
        </is>
      </c>
      <c r="O2" s="110" t="inlineStr">
        <is>
          <t>daily v</t>
        </is>
      </c>
      <c r="P2" s="111" t="inlineStr">
        <is>
          <t>daily t</t>
        </is>
      </c>
      <c r="Q2" s="112" t="inlineStr">
        <is>
          <t>previous month V</t>
        </is>
      </c>
      <c r="R2" s="112" t="inlineStr">
        <is>
          <t>previous month t</t>
        </is>
      </c>
      <c r="S2" s="113" t="inlineStr">
        <is>
          <t>price vs 200ma</t>
        </is>
      </c>
      <c r="U2" s="114" t="inlineStr">
        <is>
          <t>Triggered</t>
        </is>
      </c>
      <c r="V2" s="115" t="inlineStr">
        <is>
          <t>daily return</t>
        </is>
      </c>
      <c r="W2" s="97" t="inlineStr">
        <is>
          <t>cumulative return</t>
        </is>
      </c>
      <c r="X2" s="97" t="inlineStr">
        <is>
          <t>peak equity</t>
        </is>
      </c>
      <c r="Y2" s="97" t="inlineStr">
        <is>
          <t>drawdown</t>
        </is>
      </c>
      <c r="Z2" s="97" t="inlineStr">
        <is>
          <t>QQQ B&amp;H equity</t>
        </is>
      </c>
      <c r="AA2" s="97" t="inlineStr">
        <is>
          <t>QQQ cum return</t>
        </is>
      </c>
      <c r="AB2" s="97" t="inlineStr">
        <is>
          <t>excess vs QQQ</t>
        </is>
      </c>
      <c r="AC2" s="116" t="inlineStr">
        <is>
          <t>SGOV shares</t>
        </is>
      </c>
      <c r="AD2" s="116" t="inlineStr">
        <is>
          <t>SGOV price</t>
        </is>
      </c>
      <c r="AE2" s="97" t="inlineStr">
        <is>
          <t>SGOV value</t>
        </is>
      </c>
      <c r="AF2" s="97" t="inlineStr">
        <is>
          <t>SGOV weight</t>
        </is>
      </c>
      <c r="AG2" s="116" t="inlineStr">
        <is>
          <t>cash</t>
        </is>
      </c>
      <c r="AH2" s="116" t="inlineStr">
        <is>
          <t>traded? (Y/N)</t>
        </is>
      </c>
      <c r="AI2" s="116" t="inlineStr">
        <is>
          <t>emergency day</t>
        </is>
      </c>
      <c r="AJ2" s="116" t="inlineStr">
        <is>
          <t>notes</t>
        </is>
      </c>
    </row>
    <row r="3" ht="15.75" customHeight="1" s="68">
      <c r="A3" s="117" t="n">
        <v>46237</v>
      </c>
      <c r="B3" s="118">
        <f>IF(AND(E3="",I3="",AE3="",AG3=""),"",SUM(E3,I3,AE3,AG3))</f>
        <v/>
      </c>
      <c r="C3" s="119" t="n">
        <v>146.894222718</v>
      </c>
      <c r="D3" s="84" t="n">
        <v>700.0700000000001</v>
      </c>
      <c r="E3" s="84">
        <f>IF(D3="","",D3*C3)</f>
        <v/>
      </c>
      <c r="F3" s="120">
        <f>E3/B3</f>
        <v/>
      </c>
      <c r="G3" s="119" t="n">
        <v>0</v>
      </c>
      <c r="H3" s="84" t="n">
        <v>67.95999999999999</v>
      </c>
      <c r="I3" s="84">
        <f>IF(H3="","",H3*G3)</f>
        <v/>
      </c>
      <c r="J3" s="120">
        <f>I3/B3</f>
        <v/>
      </c>
      <c r="K3" s="121">
        <f>F3+J3*3</f>
        <v/>
      </c>
      <c r="L3" s="82" t="inlineStr">
        <is>
          <t>1.05x</t>
        </is>
      </c>
      <c r="M3" s="67" t="inlineStr">
        <is>
          <t>no change - hold current position</t>
        </is>
      </c>
      <c r="N3" s="85" t="inlineStr">
        <is>
          <t>1.08x</t>
        </is>
      </c>
      <c r="O3" s="122" t="n">
        <v>0.89</v>
      </c>
      <c r="P3" s="83" t="n">
        <v>0.36</v>
      </c>
      <c r="Q3" s="67" t="n">
        <v>0.92</v>
      </c>
      <c r="R3" s="67" t="n">
        <v>0.17</v>
      </c>
      <c r="S3" s="67" t="n">
        <v>80</v>
      </c>
      <c r="T3" s="67" t="inlineStr">
        <is>
          <t>above</t>
        </is>
      </c>
      <c r="U3" s="86" t="inlineStr">
        <is>
          <t>No</t>
        </is>
      </c>
      <c r="V3" s="123" t="n"/>
      <c r="W3" s="79">
        <f>IF(B3="","",B3/$B$3-1)</f>
        <v/>
      </c>
      <c r="X3" s="78">
        <f>IF(B3="","",MAX($B$3:B3))</f>
        <v/>
      </c>
      <c r="Y3" s="79">
        <f>IF(OR(B3="",X3=""),"",B3/X3-1)</f>
        <v/>
      </c>
      <c r="Z3" s="78">
        <f>IF(D3="","",$B$3*D3/$D$3)</f>
        <v/>
      </c>
      <c r="AA3" s="79">
        <f>IF(D3="","",D3/$D$3-1)</f>
        <v/>
      </c>
      <c r="AB3" s="79">
        <f>IF(OR(W3="",AA3=""),"",W3-AA3)</f>
        <v/>
      </c>
      <c r="AC3" s="124" t="n"/>
      <c r="AD3" s="125" t="n"/>
      <c r="AE3" s="78">
        <f>IF(AD3="","",AC3*AD3)</f>
        <v/>
      </c>
      <c r="AF3" s="79">
        <f>IF(OR(AE3="",B3="",B3=0),"",AE3/B3)</f>
        <v/>
      </c>
      <c r="AG3" s="125" t="n">
        <v>0</v>
      </c>
      <c r="AH3" s="126" t="n"/>
      <c r="AI3" s="126" t="n"/>
      <c r="AJ3" s="126" t="inlineStr">
        <is>
          <t>v3.3 record starts at this close (v3.2/v3.3 created 8/3). Account was funded 7/27 under v3.1: $100,000 into 146.894 QQQ (1.00x). No trades 8/3-8/17: 1.00x vs the 1.05x target is inside the 0.10 rebalance band.</t>
        </is>
      </c>
    </row>
    <row r="4" ht="15.75" customHeight="1" s="68">
      <c r="A4" s="117" t="n">
        <v>46238</v>
      </c>
      <c r="B4" s="118">
        <f>IF(AND(E4="",I4="",AE4="",AG4=""),"",SUM(E4,I4,AE4,AG4))</f>
        <v/>
      </c>
      <c r="C4" s="119" t="n">
        <v>146.894222718</v>
      </c>
      <c r="D4" s="84" t="n">
        <v>723.85</v>
      </c>
      <c r="E4" s="84">
        <f>IF(D4="","",D4*C4)</f>
        <v/>
      </c>
      <c r="F4" s="120">
        <f>E4/B4</f>
        <v/>
      </c>
      <c r="G4" s="119" t="n">
        <v>0</v>
      </c>
      <c r="H4" s="84" t="n">
        <v>74.81999999999999</v>
      </c>
      <c r="I4" s="84">
        <f>IF(H4="","",H4*G4)</f>
        <v/>
      </c>
      <c r="J4" s="120">
        <f>I4/B4</f>
        <v/>
      </c>
      <c r="K4" s="121">
        <f>F4+J4*3</f>
        <v/>
      </c>
      <c r="L4" s="82" t="inlineStr">
        <is>
          <t>1.05x</t>
        </is>
      </c>
      <c r="M4" s="67" t="inlineStr">
        <is>
          <t>no change - hold current position</t>
        </is>
      </c>
      <c r="N4" s="85" t="inlineStr">
        <is>
          <t>1.06x</t>
        </is>
      </c>
      <c r="O4" s="122" t="n">
        <v>0.89</v>
      </c>
      <c r="P4" s="83" t="n">
        <v>0.34</v>
      </c>
      <c r="Q4" s="67" t="n">
        <v>0.92</v>
      </c>
      <c r="R4" s="67" t="n">
        <v>0.17</v>
      </c>
      <c r="S4" s="67" t="n">
        <v>81</v>
      </c>
      <c r="T4" s="67" t="inlineStr">
        <is>
          <t>above</t>
        </is>
      </c>
      <c r="U4" s="86" t="inlineStr">
        <is>
          <t>No</t>
        </is>
      </c>
      <c r="V4" s="123">
        <f>IF(OR(B4="",B3=""),"",B4/B3-1)</f>
        <v/>
      </c>
      <c r="W4" s="79">
        <f>IF(B4="","",B4/$B$3-1)</f>
        <v/>
      </c>
      <c r="X4" s="78">
        <f>IF(B4="","",MAX($B$3:B4))</f>
        <v/>
      </c>
      <c r="Y4" s="79">
        <f>IF(OR(B4="",X4=""),"",B4/X4-1)</f>
        <v/>
      </c>
      <c r="Z4" s="78">
        <f>IF(D4="","",$B$3*D4/$D$3)</f>
        <v/>
      </c>
      <c r="AA4" s="79">
        <f>IF(D4="","",D4/$D$3-1)</f>
        <v/>
      </c>
      <c r="AB4" s="79">
        <f>IF(OR(W4="",AA4=""),"",W4-AA4)</f>
        <v/>
      </c>
      <c r="AC4" s="124" t="n"/>
      <c r="AD4" s="125" t="n"/>
      <c r="AE4" s="78">
        <f>IF(AD4="","",AC4*AD4)</f>
        <v/>
      </c>
      <c r="AF4" s="79">
        <f>IF(OR(AE4="",B4="",B4=0),"",AE4/B4)</f>
        <v/>
      </c>
      <c r="AG4" s="125" t="n">
        <v>0</v>
      </c>
      <c r="AH4" s="126" t="n"/>
      <c r="AI4" s="126" t="n"/>
      <c r="AJ4" s="126" t="n"/>
    </row>
    <row r="5" ht="15.75" customHeight="1" s="68">
      <c r="A5" s="117" t="n">
        <v>46239</v>
      </c>
      <c r="B5" s="118">
        <f>IF(AND(E5="",I5="",AE5="",AG5=""),"",SUM(E5,I5,AE5,AG5))</f>
        <v/>
      </c>
      <c r="C5" s="119" t="n">
        <v>146.894222718</v>
      </c>
      <c r="D5" s="84" t="n">
        <v>717.3</v>
      </c>
      <c r="E5" s="84">
        <f>IF(D5="","",D5*C5)</f>
        <v/>
      </c>
      <c r="F5" s="120">
        <f>E5/B5</f>
        <v/>
      </c>
      <c r="G5" s="119" t="n">
        <v>0</v>
      </c>
      <c r="H5" s="84" t="n">
        <v>72.84</v>
      </c>
      <c r="I5" s="84">
        <f>IF(H5="","",H5*G5)</f>
        <v/>
      </c>
      <c r="J5" s="120">
        <f>I5/B5</f>
        <v/>
      </c>
      <c r="K5" s="121">
        <f>F5+J5*3</f>
        <v/>
      </c>
      <c r="L5" s="82" t="inlineStr">
        <is>
          <t>1.05x</t>
        </is>
      </c>
      <c r="M5" s="67" t="inlineStr">
        <is>
          <t>no change - hold current position</t>
        </is>
      </c>
      <c r="N5" s="85" t="inlineStr">
        <is>
          <t>0.98x</t>
        </is>
      </c>
      <c r="O5" s="122" t="n">
        <v>0.89</v>
      </c>
      <c r="P5" s="83" t="n">
        <v>0.3</v>
      </c>
      <c r="Q5" s="67" t="n">
        <v>0.92</v>
      </c>
      <c r="R5" s="67" t="n">
        <v>0.17</v>
      </c>
      <c r="S5" s="67" t="n">
        <v>82</v>
      </c>
      <c r="T5" s="67" t="inlineStr">
        <is>
          <t>above</t>
        </is>
      </c>
      <c r="U5" s="86" t="inlineStr">
        <is>
          <t>No</t>
        </is>
      </c>
      <c r="V5" s="123">
        <f>IF(OR(B5="",B4=""),"",B5/B4-1)</f>
        <v/>
      </c>
      <c r="W5" s="79">
        <f>IF(B5="","",B5/$B$3-1)</f>
        <v/>
      </c>
      <c r="X5" s="78">
        <f>IF(B5="","",MAX($B$3:B5))</f>
        <v/>
      </c>
      <c r="Y5" s="79">
        <f>IF(OR(B5="",X5=""),"",B5/X5-1)</f>
        <v/>
      </c>
      <c r="Z5" s="78">
        <f>IF(D5="","",$B$3*D5/$D$3)</f>
        <v/>
      </c>
      <c r="AA5" s="79">
        <f>IF(D5="","",D5/$D$3-1)</f>
        <v/>
      </c>
      <c r="AB5" s="79">
        <f>IF(OR(W5="",AA5=""),"",W5-AA5)</f>
        <v/>
      </c>
      <c r="AC5" s="124" t="n"/>
      <c r="AD5" s="125" t="n"/>
      <c r="AE5" s="78">
        <f>IF(AD5="","",AC5*AD5)</f>
        <v/>
      </c>
      <c r="AF5" s="79">
        <f>IF(OR(AE5="",B5="",B5=0),"",AE5/B5)</f>
        <v/>
      </c>
      <c r="AG5" s="125" t="n">
        <v>0</v>
      </c>
      <c r="AH5" s="126" t="n"/>
      <c r="AI5" s="126" t="n"/>
      <c r="AJ5" s="126" t="n"/>
    </row>
    <row r="6" ht="15.75" customHeight="1" s="68">
      <c r="A6" s="117" t="n">
        <v>46240</v>
      </c>
      <c r="B6" s="118">
        <f>IF(AND(E6="",I6="",AE6="",AG6=""),"",SUM(E6,I6,AE6,AG6))</f>
        <v/>
      </c>
      <c r="C6" s="119" t="n">
        <v>146.894222718</v>
      </c>
      <c r="D6" s="84" t="n">
        <v>714.65</v>
      </c>
      <c r="E6" s="84">
        <f>IF(D6="","",D6*C6)</f>
        <v/>
      </c>
      <c r="F6" s="120">
        <f>IF(B6="","",E6/B6)</f>
        <v/>
      </c>
      <c r="G6" s="119" t="n">
        <v>0</v>
      </c>
      <c r="H6" s="84" t="n">
        <v>72.03</v>
      </c>
      <c r="I6" s="84">
        <f>IF(H6="","",H6*G6)</f>
        <v/>
      </c>
      <c r="J6" s="120">
        <f>IF(B6="","",I6/B6)</f>
        <v/>
      </c>
      <c r="K6" s="121">
        <f>IF(B6="","",F6+J6*3)</f>
        <v/>
      </c>
      <c r="L6" s="82" t="inlineStr">
        <is>
          <t>1.05x</t>
        </is>
      </c>
      <c r="M6" s="67" t="inlineStr">
        <is>
          <t>no change - hold current position</t>
        </is>
      </c>
      <c r="N6" s="85" t="inlineStr">
        <is>
          <t>0.97x</t>
        </is>
      </c>
      <c r="O6" s="122" t="n">
        <v>0.89</v>
      </c>
      <c r="P6" s="83" t="n">
        <v>0.32</v>
      </c>
      <c r="Q6" s="67" t="n">
        <v>0.92</v>
      </c>
      <c r="R6" s="67" t="n">
        <v>0.17</v>
      </c>
      <c r="S6" s="67" t="n">
        <v>83</v>
      </c>
      <c r="T6" s="67" t="inlineStr">
        <is>
          <t>above</t>
        </is>
      </c>
      <c r="U6" s="86" t="inlineStr">
        <is>
          <t>No</t>
        </is>
      </c>
      <c r="V6" s="123">
        <f>IF(OR(B6="",B5=""),"",B6/B5-1)</f>
        <v/>
      </c>
      <c r="W6" s="79">
        <f>IF(B6="","",B6/$B$3-1)</f>
        <v/>
      </c>
      <c r="X6" s="78">
        <f>IF(B6="","",MAX($B$3:B6))</f>
        <v/>
      </c>
      <c r="Y6" s="79">
        <f>IF(OR(B6="",X6=""),"",B6/X6-1)</f>
        <v/>
      </c>
      <c r="Z6" s="78">
        <f>IF(D6="","",$B$3*D6/$D$3)</f>
        <v/>
      </c>
      <c r="AA6" s="79">
        <f>IF(D6="","",D6/$D$3-1)</f>
        <v/>
      </c>
      <c r="AB6" s="79">
        <f>IF(OR(W6="",AA6=""),"",W6-AA6)</f>
        <v/>
      </c>
      <c r="AC6" s="124" t="n"/>
      <c r="AD6" s="125" t="n"/>
      <c r="AE6" s="78">
        <f>IF(AD6="","",AC6*AD6)</f>
        <v/>
      </c>
      <c r="AF6" s="79">
        <f>IF(OR(AE6="",B6="",B6=0),"",AE6/B6)</f>
        <v/>
      </c>
      <c r="AG6" s="125" t="n">
        <v>0</v>
      </c>
      <c r="AH6" s="126" t="n"/>
      <c r="AI6" s="126" t="n"/>
      <c r="AJ6" s="126" t="n"/>
    </row>
    <row r="7" ht="15.75" customHeight="1" s="68">
      <c r="A7" s="117" t="n">
        <v>46241</v>
      </c>
      <c r="B7" s="118">
        <f>IF(AND(E7="",I7="",AE7="",AG7=""),"",SUM(E7,I7,AE7,AG7))</f>
        <v/>
      </c>
      <c r="C7" s="119" t="n">
        <v>146.894222718</v>
      </c>
      <c r="D7" s="84" t="n">
        <v>723.03</v>
      </c>
      <c r="E7" s="84">
        <f>IF(D7="","",D7*C7)</f>
        <v/>
      </c>
      <c r="F7" s="120">
        <f>IF(B7="","",E7/B7)</f>
        <v/>
      </c>
      <c r="G7" s="119" t="n">
        <v>0</v>
      </c>
      <c r="H7" s="84" t="n">
        <v>74.47</v>
      </c>
      <c r="I7" s="84">
        <f>IF(H7="","",H7*G7)</f>
        <v/>
      </c>
      <c r="J7" s="120">
        <f>IF(B7="","",I7/B7)</f>
        <v/>
      </c>
      <c r="K7" s="121">
        <f>IF(B7="","",F7+J7*3)</f>
        <v/>
      </c>
      <c r="L7" s="82" t="inlineStr">
        <is>
          <t>1.05x</t>
        </is>
      </c>
      <c r="M7" s="67" t="inlineStr">
        <is>
          <t>no change - hold current position</t>
        </is>
      </c>
      <c r="N7" s="85" t="inlineStr">
        <is>
          <t>1.00x</t>
        </is>
      </c>
      <c r="O7" s="122" t="n">
        <v>0.89</v>
      </c>
      <c r="P7" s="83" t="n">
        <v>0.32</v>
      </c>
      <c r="Q7" s="67" t="n">
        <v>0.92</v>
      </c>
      <c r="R7" s="67" t="n">
        <v>0.17</v>
      </c>
      <c r="S7" s="67" t="n">
        <v>84</v>
      </c>
      <c r="T7" s="67" t="inlineStr">
        <is>
          <t>above</t>
        </is>
      </c>
      <c r="U7" s="86" t="inlineStr">
        <is>
          <t>No</t>
        </is>
      </c>
      <c r="V7" s="123">
        <f>IF(OR(B7="",B6=""),"",B7/B6-1)</f>
        <v/>
      </c>
      <c r="W7" s="79">
        <f>IF(B7="","",B7/$B$3-1)</f>
        <v/>
      </c>
      <c r="X7" s="78">
        <f>IF(B7="","",MAX($B$3:B7))</f>
        <v/>
      </c>
      <c r="Y7" s="79">
        <f>IF(OR(B7="",X7=""),"",B7/X7-1)</f>
        <v/>
      </c>
      <c r="Z7" s="78">
        <f>IF(D7="","",$B$3*D7/$D$3)</f>
        <v/>
      </c>
      <c r="AA7" s="79">
        <f>IF(D7="","",D7/$D$3-1)</f>
        <v/>
      </c>
      <c r="AB7" s="79">
        <f>IF(OR(W7="",AA7=""),"",W7-AA7)</f>
        <v/>
      </c>
      <c r="AC7" s="124" t="n"/>
      <c r="AD7" s="125" t="n"/>
      <c r="AE7" s="78">
        <f>IF(AD7="","",AC7*AD7)</f>
        <v/>
      </c>
      <c r="AF7" s="79">
        <f>IF(OR(AE7="",B7="",B7=0),"",AE7/B7)</f>
        <v/>
      </c>
      <c r="AG7" s="125" t="n">
        <v>0</v>
      </c>
      <c r="AH7" s="126" t="n"/>
      <c r="AI7" s="126" t="n"/>
      <c r="AJ7" s="126" t="n"/>
    </row>
    <row r="8" ht="15.75" customHeight="1" s="68">
      <c r="A8" s="117" t="n">
        <v>46244</v>
      </c>
      <c r="B8" s="118">
        <f>IF(AND(E8="",I8="",AE8="",AG8=""),"",SUM(E8,I8,AE8,AG8))</f>
        <v/>
      </c>
      <c r="C8" s="119" t="n">
        <v>146.894222718</v>
      </c>
      <c r="D8" s="84" t="n">
        <v>720.87</v>
      </c>
      <c r="E8" s="84">
        <f>IF(D8="","",D8*C8)</f>
        <v/>
      </c>
      <c r="F8" s="120">
        <f>IF(B8="","",E8/B8)</f>
        <v/>
      </c>
      <c r="G8" s="119" t="n">
        <v>0</v>
      </c>
      <c r="H8" s="84" t="n">
        <v>73.8</v>
      </c>
      <c r="I8" s="84">
        <f>IF(H8="","",H8*G8)</f>
        <v/>
      </c>
      <c r="J8" s="120">
        <f>IF(B8="","",I8/B8)</f>
        <v/>
      </c>
      <c r="K8" s="121">
        <f>IF(B8="","",F8+J8*3)</f>
        <v/>
      </c>
      <c r="L8" s="82" t="inlineStr">
        <is>
          <t>1.05x</t>
        </is>
      </c>
      <c r="M8" s="67" t="inlineStr">
        <is>
          <t>no change - hold current position</t>
        </is>
      </c>
      <c r="N8" s="85" t="inlineStr">
        <is>
          <t>0.98x</t>
        </is>
      </c>
      <c r="O8" s="122" t="n">
        <v>0.89</v>
      </c>
      <c r="P8" s="83" t="n">
        <v>0.34</v>
      </c>
      <c r="Q8" s="67" t="n">
        <v>0.92</v>
      </c>
      <c r="R8" s="67" t="n">
        <v>0.17</v>
      </c>
      <c r="S8" s="67" t="n">
        <v>85</v>
      </c>
      <c r="T8" s="67" t="inlineStr">
        <is>
          <t>above</t>
        </is>
      </c>
      <c r="U8" s="86" t="inlineStr">
        <is>
          <t>No</t>
        </is>
      </c>
      <c r="V8" s="123">
        <f>IF(OR(B8="",B7=""),"",B8/B7-1)</f>
        <v/>
      </c>
      <c r="W8" s="79">
        <f>IF(B8="","",B8/$B$3-1)</f>
        <v/>
      </c>
      <c r="X8" s="78">
        <f>IF(B8="","",MAX($B$3:B8))</f>
        <v/>
      </c>
      <c r="Y8" s="79">
        <f>IF(OR(B8="",X8=""),"",B8/X8-1)</f>
        <v/>
      </c>
      <c r="Z8" s="78">
        <f>IF(D8="","",$B$3*D8/$D$3)</f>
        <v/>
      </c>
      <c r="AA8" s="79">
        <f>IF(D8="","",D8/$D$3-1)</f>
        <v/>
      </c>
      <c r="AB8" s="79">
        <f>IF(OR(W8="",AA8=""),"",W8-AA8)</f>
        <v/>
      </c>
      <c r="AC8" s="124" t="n"/>
      <c r="AD8" s="125" t="n"/>
      <c r="AE8" s="78">
        <f>IF(AD8="","",AC8*AD8)</f>
        <v/>
      </c>
      <c r="AF8" s="79">
        <f>IF(OR(AE8="",B8="",B8=0),"",AE8/B8)</f>
        <v/>
      </c>
      <c r="AG8" s="125" t="n">
        <v>0</v>
      </c>
      <c r="AH8" s="126" t="n"/>
      <c r="AI8" s="126" t="n"/>
      <c r="AJ8" s="126" t="n"/>
    </row>
    <row r="9" ht="15.75" customHeight="1" s="68">
      <c r="A9" s="117" t="n">
        <v>46245</v>
      </c>
      <c r="B9" s="118">
        <f>IF(AND(E9="",I9="",AE9="",AG9=""),"",SUM(E9,I9,AE9,AG9))</f>
        <v/>
      </c>
      <c r="C9" s="119" t="n">
        <v>146.894222718</v>
      </c>
      <c r="D9" s="84" t="n">
        <v>718.45</v>
      </c>
      <c r="E9" s="84">
        <f>IF(D9="","",D9*C9)</f>
        <v/>
      </c>
      <c r="F9" s="120">
        <f>IF(B9="","",E9/B9)</f>
        <v/>
      </c>
      <c r="G9" s="119" t="n">
        <v>0</v>
      </c>
      <c r="H9" s="84" t="n">
        <v>73.06</v>
      </c>
      <c r="I9" s="84">
        <f>IF(H9="","",H9*G9)</f>
        <v/>
      </c>
      <c r="J9" s="120">
        <f>IF(B9="","",I9/B9)</f>
        <v/>
      </c>
      <c r="K9" s="121">
        <f>IF(B9="","",F9+J9*3)</f>
        <v/>
      </c>
      <c r="L9" s="82" t="inlineStr">
        <is>
          <t>1.05x</t>
        </is>
      </c>
      <c r="M9" s="67" t="inlineStr">
        <is>
          <t>no change - hold current position</t>
        </is>
      </c>
      <c r="N9" s="85" t="inlineStr">
        <is>
          <t>1.02x</t>
        </is>
      </c>
      <c r="O9" s="122" t="n">
        <v>0.89</v>
      </c>
      <c r="P9" s="83" t="n">
        <v>0.36</v>
      </c>
      <c r="Q9" s="67" t="n">
        <v>0.92</v>
      </c>
      <c r="R9" s="67" t="n">
        <v>0.17</v>
      </c>
      <c r="S9" s="67" t="n">
        <v>86</v>
      </c>
      <c r="T9" s="67" t="inlineStr">
        <is>
          <t>above</t>
        </is>
      </c>
      <c r="U9" s="86" t="inlineStr">
        <is>
          <t>No</t>
        </is>
      </c>
      <c r="V9" s="123">
        <f>IF(OR(B9="",B8=""),"",B9/B8-1)</f>
        <v/>
      </c>
      <c r="W9" s="79">
        <f>IF(B9="","",B9/$B$3-1)</f>
        <v/>
      </c>
      <c r="X9" s="78">
        <f>IF(B9="","",MAX($B$3:B9))</f>
        <v/>
      </c>
      <c r="Y9" s="79">
        <f>IF(OR(B9="",X9=""),"",B9/X9-1)</f>
        <v/>
      </c>
      <c r="Z9" s="78">
        <f>IF(D9="","",$B$3*D9/$D$3)</f>
        <v/>
      </c>
      <c r="AA9" s="79">
        <f>IF(D9="","",D9/$D$3-1)</f>
        <v/>
      </c>
      <c r="AB9" s="79">
        <f>IF(OR(W9="",AA9=""),"",W9-AA9)</f>
        <v/>
      </c>
      <c r="AC9" s="124" t="n"/>
      <c r="AD9" s="125" t="n"/>
      <c r="AE9" s="78">
        <f>IF(AD9="","",AC9*AD9)</f>
        <v/>
      </c>
      <c r="AF9" s="79">
        <f>IF(OR(AE9="",B9="",B9=0),"",AE9/B9)</f>
        <v/>
      </c>
      <c r="AG9" s="125" t="n">
        <v>0</v>
      </c>
      <c r="AH9" s="126" t="n"/>
      <c r="AI9" s="126" t="n"/>
      <c r="AJ9" s="126" t="n"/>
    </row>
    <row r="10" ht="15.75" customHeight="1" s="68">
      <c r="A10" s="117" t="n">
        <v>46246</v>
      </c>
      <c r="B10" s="118">
        <f>IF(AND(E10="",I10="",AE10="",AG10=""),"",SUM(E10,I10,AE10,AG10))</f>
        <v/>
      </c>
      <c r="C10" s="119" t="n">
        <v>146.894222718</v>
      </c>
      <c r="D10" s="84" t="n">
        <v>723.7</v>
      </c>
      <c r="E10" s="84">
        <f>IF(D10="","",D10*C10)</f>
        <v/>
      </c>
      <c r="F10" s="120">
        <f>IF(B10="","",E10/B10)</f>
        <v/>
      </c>
      <c r="G10" s="119" t="n">
        <v>0</v>
      </c>
      <c r="H10" s="84" t="n">
        <v>74.59999999999999</v>
      </c>
      <c r="I10" s="84">
        <f>IF(H10="","",H10*G10)</f>
        <v/>
      </c>
      <c r="J10" s="120">
        <f>IF(B10="","",I10/B10)</f>
        <v/>
      </c>
      <c r="K10" s="121">
        <f>IF(B10="","",F10+J10*3)</f>
        <v/>
      </c>
      <c r="L10" s="82" t="inlineStr">
        <is>
          <t>1.05x</t>
        </is>
      </c>
      <c r="M10" s="67" t="inlineStr">
        <is>
          <t>no change - hold current position</t>
        </is>
      </c>
      <c r="N10" s="85" t="inlineStr">
        <is>
          <t>1.03x</t>
        </is>
      </c>
      <c r="O10" s="122" t="n">
        <v>0.89</v>
      </c>
      <c r="P10" s="83" t="n">
        <v>0.37</v>
      </c>
      <c r="Q10" s="67" t="n">
        <v>0.92</v>
      </c>
      <c r="R10" s="67" t="n">
        <v>0.17</v>
      </c>
      <c r="S10" s="67" t="n">
        <v>87</v>
      </c>
      <c r="T10" s="67" t="inlineStr">
        <is>
          <t>above</t>
        </is>
      </c>
      <c r="U10" s="86" t="inlineStr">
        <is>
          <t>No</t>
        </is>
      </c>
      <c r="V10" s="123">
        <f>IF(OR(B10="",B9=""),"",B10/B9-1)</f>
        <v/>
      </c>
      <c r="W10" s="79">
        <f>IF(B10="","",B10/$B$3-1)</f>
        <v/>
      </c>
      <c r="X10" s="78">
        <f>IF(B10="","",MAX($B$3:B10))</f>
        <v/>
      </c>
      <c r="Y10" s="79">
        <f>IF(OR(B10="",X10=""),"",B10/X10-1)</f>
        <v/>
      </c>
      <c r="Z10" s="78">
        <f>IF(D10="","",$B$3*D10/$D$3)</f>
        <v/>
      </c>
      <c r="AA10" s="79">
        <f>IF(D10="","",D10/$D$3-1)</f>
        <v/>
      </c>
      <c r="AB10" s="79">
        <f>IF(OR(W10="",AA10=""),"",W10-AA10)</f>
        <v/>
      </c>
      <c r="AC10" s="124" t="n"/>
      <c r="AD10" s="125" t="n"/>
      <c r="AE10" s="78">
        <f>IF(AD10="","",AC10*AD10)</f>
        <v/>
      </c>
      <c r="AF10" s="79">
        <f>IF(OR(AE10="",B10="",B10=0),"",AE10/B10)</f>
        <v/>
      </c>
      <c r="AG10" s="125" t="n">
        <v>0</v>
      </c>
      <c r="AH10" s="126" t="n"/>
      <c r="AI10" s="126" t="n"/>
      <c r="AJ10" s="126" t="n"/>
    </row>
    <row r="11" ht="15.75" customHeight="1" s="68">
      <c r="A11" s="117" t="n">
        <v>46247</v>
      </c>
      <c r="B11" s="118">
        <f>IF(AND(E11="",I11="",AE11="",AG11=""),"",SUM(E11,I11,AE11,AG11))</f>
        <v/>
      </c>
      <c r="C11" s="119" t="n">
        <v>146.894222718</v>
      </c>
      <c r="D11" s="84" t="n">
        <v>732.0700000000001</v>
      </c>
      <c r="E11" s="84">
        <f>IF(D11="","",D11*C11)</f>
        <v/>
      </c>
      <c r="F11" s="120">
        <f>IF(B11="","",E11/B11)</f>
        <v/>
      </c>
      <c r="G11" s="119" t="n">
        <v>0</v>
      </c>
      <c r="H11" s="84" t="n">
        <v>77.15000000000001</v>
      </c>
      <c r="I11" s="84">
        <f>IF(H11="","",H11*G11)</f>
        <v/>
      </c>
      <c r="J11" s="120">
        <f>IF(B11="","",I11/B11)</f>
        <v/>
      </c>
      <c r="K11" s="121">
        <f>IF(B11="","",F11+J11*3)</f>
        <v/>
      </c>
      <c r="L11" s="82" t="inlineStr">
        <is>
          <t>1.05x</t>
        </is>
      </c>
      <c r="M11" s="67" t="inlineStr">
        <is>
          <t>no change - hold current position</t>
        </is>
      </c>
      <c r="N11" s="85" t="inlineStr">
        <is>
          <t>1.02x</t>
        </is>
      </c>
      <c r="O11" s="122" t="n">
        <v>0.89</v>
      </c>
      <c r="P11" s="83" t="n">
        <v>0.36</v>
      </c>
      <c r="Q11" s="67" t="n">
        <v>0.92</v>
      </c>
      <c r="R11" s="67" t="n">
        <v>0.17</v>
      </c>
      <c r="S11" s="67" t="n">
        <v>88</v>
      </c>
      <c r="T11" s="67" t="inlineStr">
        <is>
          <t>above</t>
        </is>
      </c>
      <c r="U11" s="86" t="inlineStr">
        <is>
          <t>No</t>
        </is>
      </c>
      <c r="V11" s="123">
        <f>IF(OR(B11="",B10=""),"",B11/B10-1)</f>
        <v/>
      </c>
      <c r="W11" s="79">
        <f>IF(B11="","",B11/$B$3-1)</f>
        <v/>
      </c>
      <c r="X11" s="78">
        <f>IF(B11="","",MAX($B$3:B11))</f>
        <v/>
      </c>
      <c r="Y11" s="79">
        <f>IF(OR(B11="",X11=""),"",B11/X11-1)</f>
        <v/>
      </c>
      <c r="Z11" s="78">
        <f>IF(D11="","",$B$3*D11/$D$3)</f>
        <v/>
      </c>
      <c r="AA11" s="79">
        <f>IF(D11="","",D11/$D$3-1)</f>
        <v/>
      </c>
      <c r="AB11" s="79">
        <f>IF(OR(W11="",AA11=""),"",W11-AA11)</f>
        <v/>
      </c>
      <c r="AC11" s="124" t="n"/>
      <c r="AD11" s="125" t="n"/>
      <c r="AE11" s="78">
        <f>IF(AD11="","",AC11*AD11)</f>
        <v/>
      </c>
      <c r="AF11" s="79">
        <f>IF(OR(AE11="",B11="",B11=0),"",AE11/B11)</f>
        <v/>
      </c>
      <c r="AG11" s="125" t="n">
        <v>0</v>
      </c>
      <c r="AH11" s="126" t="n"/>
      <c r="AI11" s="126" t="n"/>
      <c r="AJ11" s="126" t="n"/>
    </row>
    <row r="12" ht="15.75" customHeight="1" s="68">
      <c r="A12" s="117" t="n">
        <v>46248</v>
      </c>
      <c r="B12" s="118">
        <f>IF(AND(E12="",I12="",AE12="",AG12=""),"",SUM(E12,I12,AE12,AG12))</f>
        <v/>
      </c>
      <c r="C12" s="119" t="n">
        <v>146.894222718</v>
      </c>
      <c r="D12" s="84" t="n">
        <v>731.0700000000001</v>
      </c>
      <c r="E12" s="84">
        <f>IF(D12="","",D12*C12)</f>
        <v/>
      </c>
      <c r="F12" s="120">
        <f>IF(B12="","",E12/B12)</f>
        <v/>
      </c>
      <c r="G12" s="119" t="n">
        <v>0</v>
      </c>
      <c r="H12" s="84" t="n">
        <v>76.79000000000001</v>
      </c>
      <c r="I12" s="84">
        <f>IF(H12="","",H12*G12)</f>
        <v/>
      </c>
      <c r="J12" s="120">
        <f>IF(B12="","",I12/B12)</f>
        <v/>
      </c>
      <c r="K12" s="121">
        <f>IF(B12="","",F12+J12*3)</f>
        <v/>
      </c>
      <c r="L12" s="82" t="inlineStr">
        <is>
          <t>1.05x</t>
        </is>
      </c>
      <c r="M12" s="67" t="inlineStr">
        <is>
          <t>no change - hold current position</t>
        </is>
      </c>
      <c r="N12" s="85" t="inlineStr">
        <is>
          <t>1.04x</t>
        </is>
      </c>
      <c r="O12" s="122" t="n">
        <v>0.9</v>
      </c>
      <c r="P12" s="83" t="n">
        <v>0.36</v>
      </c>
      <c r="Q12" s="67" t="n">
        <v>0.92</v>
      </c>
      <c r="R12" s="67" t="n">
        <v>0.17</v>
      </c>
      <c r="S12" s="67" t="n">
        <v>89</v>
      </c>
      <c r="T12" s="67" t="inlineStr">
        <is>
          <t>above</t>
        </is>
      </c>
      <c r="U12" s="86" t="inlineStr">
        <is>
          <t>No</t>
        </is>
      </c>
      <c r="V12" s="123">
        <f>IF(OR(B12="",B11=""),"",B12/B11-1)</f>
        <v/>
      </c>
      <c r="W12" s="79">
        <f>IF(B12="","",B12/$B$3-1)</f>
        <v/>
      </c>
      <c r="X12" s="78">
        <f>IF(B12="","",MAX($B$3:B12))</f>
        <v/>
      </c>
      <c r="Y12" s="79">
        <f>IF(OR(B12="",X12=""),"",B12/X12-1)</f>
        <v/>
      </c>
      <c r="Z12" s="78">
        <f>IF(D12="","",$B$3*D12/$D$3)</f>
        <v/>
      </c>
      <c r="AA12" s="79">
        <f>IF(D12="","",D12/$D$3-1)</f>
        <v/>
      </c>
      <c r="AB12" s="79">
        <f>IF(OR(W12="",AA12=""),"",W12-AA12)</f>
        <v/>
      </c>
      <c r="AC12" s="124" t="n"/>
      <c r="AD12" s="125" t="n"/>
      <c r="AE12" s="78">
        <f>IF(AD12="","",AC12*AD12)</f>
        <v/>
      </c>
      <c r="AF12" s="79">
        <f>IF(OR(AE12="",B12="",B12=0),"",AE12/B12)</f>
        <v/>
      </c>
      <c r="AG12" s="125" t="n">
        <v>0</v>
      </c>
      <c r="AH12" s="126" t="n"/>
      <c r="AI12" s="126" t="n"/>
      <c r="AJ12" s="126" t="n"/>
    </row>
    <row r="13" ht="15.75" customHeight="1" s="68">
      <c r="A13" s="117" t="n">
        <v>46251</v>
      </c>
      <c r="B13" s="118">
        <f>IF(AND(E13="",I13="",AE13="",AG13=""),"",SUM(E13,I13,AE13,AG13))</f>
        <v/>
      </c>
      <c r="C13" s="119" t="n">
        <v>146.894222718</v>
      </c>
      <c r="D13" s="84" t="n">
        <v>729.87</v>
      </c>
      <c r="E13" s="84">
        <f>IF(D13="","",D13*C13)</f>
        <v/>
      </c>
      <c r="F13" s="120">
        <f>IF(B13="","",E13/B13)</f>
        <v/>
      </c>
      <c r="G13" s="119" t="n">
        <v>0</v>
      </c>
      <c r="H13" s="84" t="n">
        <v>76.40000000000001</v>
      </c>
      <c r="I13" s="84">
        <f>IF(H13="","",H13*G13)</f>
        <v/>
      </c>
      <c r="J13" s="120">
        <f>IF(B13="","",I13/B13)</f>
        <v/>
      </c>
      <c r="K13" s="121">
        <f>IF(B13="","",F13+J13*3)</f>
        <v/>
      </c>
      <c r="L13" s="82" t="inlineStr">
        <is>
          <t>1.05x</t>
        </is>
      </c>
      <c r="M13" s="67" t="inlineStr">
        <is>
          <t>no change - hold current position</t>
        </is>
      </c>
      <c r="N13" s="85" t="inlineStr">
        <is>
          <t>1.07x</t>
        </is>
      </c>
      <c r="O13" s="122" t="n">
        <v>0.9</v>
      </c>
      <c r="P13" s="83" t="n">
        <v>0.38</v>
      </c>
      <c r="Q13" s="67" t="n">
        <v>0.92</v>
      </c>
      <c r="R13" s="67" t="n">
        <v>0.17</v>
      </c>
      <c r="S13" s="67" t="n">
        <v>90</v>
      </c>
      <c r="T13" s="67" t="inlineStr">
        <is>
          <t>above</t>
        </is>
      </c>
      <c r="U13" s="86" t="inlineStr">
        <is>
          <t>No</t>
        </is>
      </c>
      <c r="V13" s="123">
        <f>IF(OR(B13="",B12=""),"",B13/B12-1)</f>
        <v/>
      </c>
      <c r="W13" s="79">
        <f>IF(B13="","",B13/$B$3-1)</f>
        <v/>
      </c>
      <c r="X13" s="78">
        <f>IF(B13="","",MAX($B$3:B13))</f>
        <v/>
      </c>
      <c r="Y13" s="79">
        <f>IF(OR(B13="",X13=""),"",B13/X13-1)</f>
        <v/>
      </c>
      <c r="Z13" s="78">
        <f>IF(D13="","",$B$3*D13/$D$3)</f>
        <v/>
      </c>
      <c r="AA13" s="79">
        <f>IF(D13="","",D13/$D$3-1)</f>
        <v/>
      </c>
      <c r="AB13" s="79">
        <f>IF(OR(W13="",AA13=""),"",W13-AA13)</f>
        <v/>
      </c>
      <c r="AC13" s="124" t="n"/>
      <c r="AD13" s="125" t="n"/>
      <c r="AE13" s="78">
        <f>IF(AD13="","",AC13*AD13)</f>
        <v/>
      </c>
      <c r="AF13" s="79">
        <f>IF(OR(AE13="",B13="",B13=0),"",AE13/B13)</f>
        <v/>
      </c>
      <c r="AG13" s="125" t="n">
        <v>0</v>
      </c>
      <c r="AH13" s="126" t="n"/>
      <c r="AI13" s="126" t="n"/>
      <c r="AJ13" s="126" t="n"/>
    </row>
    <row r="14" ht="15.75" customHeight="1" s="68">
      <c r="A14" s="117" t="n">
        <v>46252</v>
      </c>
      <c r="B14" s="118">
        <f>IF(AND(E14="",I14="",AE14="",AG14=""),"",SUM(E14,I14,AE14,AG14))</f>
        <v/>
      </c>
      <c r="C14" s="119" t="n">
        <v>142.979904645</v>
      </c>
      <c r="D14" s="84" t="n">
        <v>717.51</v>
      </c>
      <c r="E14" s="84">
        <f>IF(D14="","",D14*C14)</f>
        <v/>
      </c>
      <c r="F14" s="120">
        <f>IF(B14="","",E14/B14)</f>
        <v/>
      </c>
      <c r="G14" s="119" t="n">
        <v>37.394546231</v>
      </c>
      <c r="H14" s="84" t="n">
        <v>72.53</v>
      </c>
      <c r="I14" s="84">
        <f>IF(H14="","",H14*G14)</f>
        <v/>
      </c>
      <c r="J14" s="120">
        <f>IF(B14="","",I14/B14)</f>
        <v/>
      </c>
      <c r="K14" s="121">
        <f>IF(B14="","",F14+J14*3)</f>
        <v/>
      </c>
      <c r="L14" s="82" t="inlineStr">
        <is>
          <t>1.05x</t>
        </is>
      </c>
      <c r="M14" s="67" t="inlineStr">
        <is>
          <t>no change - hold current position</t>
        </is>
      </c>
      <c r="N14" s="85" t="inlineStr">
        <is>
          <t>1.07x</t>
        </is>
      </c>
      <c r="O14" s="122" t="n">
        <v>0.89</v>
      </c>
      <c r="P14" s="83" t="n">
        <v>0.37</v>
      </c>
      <c r="Q14" s="67" t="n">
        <v>0.92</v>
      </c>
      <c r="R14" s="67" t="n">
        <v>0.17</v>
      </c>
      <c r="S14" s="67" t="n">
        <v>91</v>
      </c>
      <c r="T14" s="67" t="inlineStr">
        <is>
          <t>above</t>
        </is>
      </c>
      <c r="U14" s="86" t="inlineStr">
        <is>
          <t>No</t>
        </is>
      </c>
      <c r="V14" s="123">
        <f>IF(OR(B14="",B13=""),"",B14/B13-1)</f>
        <v/>
      </c>
      <c r="W14" s="79">
        <f>IF(B14="","",B14/$B$3-1)</f>
        <v/>
      </c>
      <c r="X14" s="78">
        <f>IF(B14="","",MAX($B$3:B14))</f>
        <v/>
      </c>
      <c r="Y14" s="79">
        <f>IF(OR(B14="",X14=""),"",B14/X14-1)</f>
        <v/>
      </c>
      <c r="Z14" s="78">
        <f>IF(D14="","",$B$3*D14/$D$3)</f>
        <v/>
      </c>
      <c r="AA14" s="79">
        <f>IF(D14="","",D14/$D$3-1)</f>
        <v/>
      </c>
      <c r="AB14" s="79">
        <f>IF(OR(W14="",AA14=""),"",W14-AA14)</f>
        <v/>
      </c>
      <c r="AC14" s="124" t="n"/>
      <c r="AD14" s="125" t="n"/>
      <c r="AE14" s="78">
        <f>IF(AD14="","",AC14*AD14)</f>
        <v/>
      </c>
      <c r="AF14" s="79">
        <f>IF(OR(AE14="",B14="",B14=0),"",AE14/B14)</f>
        <v/>
      </c>
      <c r="AG14" s="125" t="n">
        <v>76.11</v>
      </c>
      <c r="AH14" s="126" t="inlineStr">
        <is>
          <t>Y</t>
        </is>
      </c>
      <c r="AI14" s="126" t="n"/>
      <c r="AJ14" s="126" t="inlineStr">
        <is>
          <t>First TQQQ purchase (1.00x -&gt; ~1.05x). Pre-market share-quantity orders (later rebalances are dollar orders sent after the open). Missing from the original log; added from Alpaca.</t>
        </is>
      </c>
    </row>
    <row r="15" ht="15.75" customHeight="1" s="68">
      <c r="A15" s="117" t="n">
        <v>46253</v>
      </c>
      <c r="B15" s="118">
        <f>IF(AND(E15="",I15="",AE15="",AG15=""),"",SUM(E15,I15,AE15,AG15))</f>
        <v/>
      </c>
      <c r="C15" s="119" t="n">
        <v>142.979904645</v>
      </c>
      <c r="D15" s="84" t="n">
        <v>716.08</v>
      </c>
      <c r="E15" s="84">
        <f>IF(D15="","",D15*C15)</f>
        <v/>
      </c>
      <c r="F15" s="120">
        <f>IF(B15="","",E15/B15)</f>
        <v/>
      </c>
      <c r="G15" s="119" t="n">
        <v>37.394546231</v>
      </c>
      <c r="H15" s="84" t="n">
        <v>72.06</v>
      </c>
      <c r="I15" s="84">
        <f>IF(H15="","",H15*G15)</f>
        <v/>
      </c>
      <c r="J15" s="120">
        <f>IF(B15="","",I15/B15)</f>
        <v/>
      </c>
      <c r="K15" s="121">
        <f>IF(B15="","",F15+J15*3)</f>
        <v/>
      </c>
      <c r="L15" s="82" t="inlineStr">
        <is>
          <t>1.05x</t>
        </is>
      </c>
      <c r="M15" s="67" t="inlineStr">
        <is>
          <t>no change - hold current position</t>
        </is>
      </c>
      <c r="N15" s="85" t="inlineStr">
        <is>
          <t>1.08x</t>
        </is>
      </c>
      <c r="O15" s="122" t="n">
        <v>0.89</v>
      </c>
      <c r="P15" s="83" t="n">
        <v>0.39</v>
      </c>
      <c r="Q15" s="67" t="n">
        <v>0.92</v>
      </c>
      <c r="R15" s="67" t="n">
        <v>0.17</v>
      </c>
      <c r="S15" s="67" t="n">
        <v>92</v>
      </c>
      <c r="T15" s="67" t="inlineStr">
        <is>
          <t>above</t>
        </is>
      </c>
      <c r="U15" s="86" t="inlineStr">
        <is>
          <t>No</t>
        </is>
      </c>
      <c r="V15" s="123">
        <f>IF(OR(B15="",B14=""),"",B15/B14-1)</f>
        <v/>
      </c>
      <c r="W15" s="79">
        <f>IF(B15="","",B15/$B$3-1)</f>
        <v/>
      </c>
      <c r="X15" s="78">
        <f>IF(B15="","",MAX($B$3:B15))</f>
        <v/>
      </c>
      <c r="Y15" s="79">
        <f>IF(OR(B15="",X15=""),"",B15/X15-1)</f>
        <v/>
      </c>
      <c r="Z15" s="78">
        <f>IF(D15="","",$B$3*D15/$D$3)</f>
        <v/>
      </c>
      <c r="AA15" s="79">
        <f>IF(D15="","",D15/$D$3-1)</f>
        <v/>
      </c>
      <c r="AB15" s="79">
        <f>IF(OR(W15="",AA15=""),"",W15-AA15)</f>
        <v/>
      </c>
      <c r="AC15" s="124" t="n"/>
      <c r="AD15" s="125" t="n"/>
      <c r="AE15" s="78">
        <f>IF(AD15="","",AC15*AD15)</f>
        <v/>
      </c>
      <c r="AF15" s="79">
        <f>IF(OR(AE15="",B15="",B15=0),"",AE15/B15)</f>
        <v/>
      </c>
      <c r="AG15" s="125" t="n">
        <v>76.11</v>
      </c>
      <c r="AH15" s="126" t="n"/>
      <c r="AI15" s="126" t="n"/>
      <c r="AJ15" s="126" t="n"/>
    </row>
    <row r="16" ht="15.75" customHeight="1" s="68">
      <c r="A16" s="117" t="n">
        <v>46254</v>
      </c>
      <c r="B16" s="118">
        <f>IF(AND(E16="",I16="",AE16="",AG16=""),"",SUM(E16,I16,AE16,AG16))</f>
        <v/>
      </c>
      <c r="C16" s="119" t="n">
        <v>142.979904645</v>
      </c>
      <c r="D16" s="84" t="n">
        <v>710.9299999999999</v>
      </c>
      <c r="E16" s="84">
        <f>IF(D16="","",D16*C16)</f>
        <v/>
      </c>
      <c r="F16" s="120">
        <f>IF(B16="","",E16/B16)</f>
        <v/>
      </c>
      <c r="G16" s="119" t="n">
        <v>37.394546231</v>
      </c>
      <c r="H16" s="84" t="n">
        <v>70.48</v>
      </c>
      <c r="I16" s="84">
        <f>IF(H16="","",H16*G16)</f>
        <v/>
      </c>
      <c r="J16" s="120">
        <f>IF(B16="","",I16/B16)</f>
        <v/>
      </c>
      <c r="K16" s="121">
        <f>IF(B16="","",F16+J16*3)</f>
        <v/>
      </c>
      <c r="L16" s="82" t="inlineStr">
        <is>
          <t>1.05x</t>
        </is>
      </c>
      <c r="M16" s="67" t="inlineStr">
        <is>
          <t>no change - hold current position</t>
        </is>
      </c>
      <c r="N16" s="85" t="inlineStr">
        <is>
          <t>1.08x</t>
        </is>
      </c>
      <c r="O16" s="122" t="n">
        <v>0.89</v>
      </c>
      <c r="P16" s="83" t="n">
        <v>0.4</v>
      </c>
      <c r="Q16" s="67" t="n">
        <v>0.92</v>
      </c>
      <c r="R16" s="67" t="n">
        <v>0.17</v>
      </c>
      <c r="S16" s="67" t="n">
        <v>93</v>
      </c>
      <c r="T16" s="67" t="inlineStr">
        <is>
          <t>above</t>
        </is>
      </c>
      <c r="U16" s="86" t="inlineStr">
        <is>
          <t>No</t>
        </is>
      </c>
      <c r="V16" s="123">
        <f>IF(OR(B16="",B15=""),"",B16/B15-1)</f>
        <v/>
      </c>
      <c r="W16" s="79">
        <f>IF(B16="","",B16/$B$3-1)</f>
        <v/>
      </c>
      <c r="X16" s="78">
        <f>IF(B16="","",MAX($B$3:B16))</f>
        <v/>
      </c>
      <c r="Y16" s="79">
        <f>IF(OR(B16="",X16=""),"",B16/X16-1)</f>
        <v/>
      </c>
      <c r="Z16" s="78">
        <f>IF(D16="","",$B$3*D16/$D$3)</f>
        <v/>
      </c>
      <c r="AA16" s="79">
        <f>IF(D16="","",D16/$D$3-1)</f>
        <v/>
      </c>
      <c r="AB16" s="79">
        <f>IF(OR(W16="",AA16=""),"",W16-AA16)</f>
        <v/>
      </c>
      <c r="AC16" s="124" t="n"/>
      <c r="AD16" s="125" t="n"/>
      <c r="AE16" s="78">
        <f>IF(AD16="","",AC16*AD16)</f>
        <v/>
      </c>
      <c r="AF16" s="79">
        <f>IF(OR(AE16="",B16="",B16=0),"",AE16/B16)</f>
        <v/>
      </c>
      <c r="AG16" s="125" t="n">
        <v>76.11</v>
      </c>
      <c r="AH16" s="126" t="n"/>
      <c r="AI16" s="126" t="n"/>
      <c r="AJ16" s="126" t="n"/>
    </row>
    <row r="17" ht="15.75" customHeight="1" s="68">
      <c r="A17" s="117" t="n">
        <v>46255</v>
      </c>
      <c r="B17" s="118">
        <f>IF(AND(E17="",I17="",AE17="",AG17=""),"",SUM(E17,I17,AE17,AG17))</f>
        <v/>
      </c>
      <c r="C17" s="119" t="n">
        <v>142.979904645</v>
      </c>
      <c r="D17" s="84" t="n">
        <v>713.4400000000001</v>
      </c>
      <c r="E17" s="84">
        <f>IF(D17="","",D17*C17)</f>
        <v/>
      </c>
      <c r="F17" s="120">
        <f>IF(B17="","",E17/B17)</f>
        <v/>
      </c>
      <c r="G17" s="119" t="n">
        <v>37.394546231</v>
      </c>
      <c r="H17" s="84" t="n">
        <v>71.17</v>
      </c>
      <c r="I17" s="84">
        <f>IF(H17="","",H17*G17)</f>
        <v/>
      </c>
      <c r="J17" s="120">
        <f>IF(B17="","",I17/B17)</f>
        <v/>
      </c>
      <c r="K17" s="121">
        <f>IF(B17="","",F17+J17*3)</f>
        <v/>
      </c>
      <c r="L17" s="82" t="inlineStr">
        <is>
          <t>1.05x</t>
        </is>
      </c>
      <c r="M17" s="67" t="inlineStr">
        <is>
          <t>no change - hold current position</t>
        </is>
      </c>
      <c r="N17" s="85" t="inlineStr">
        <is>
          <t>1.12x</t>
        </is>
      </c>
      <c r="O17" s="122" t="n">
        <v>0.89</v>
      </c>
      <c r="P17" s="83" t="n">
        <v>0.4</v>
      </c>
      <c r="Q17" s="67" t="n">
        <v>0.92</v>
      </c>
      <c r="R17" s="67" t="n">
        <v>0.17</v>
      </c>
      <c r="S17" s="67" t="n">
        <v>94</v>
      </c>
      <c r="T17" s="67" t="inlineStr">
        <is>
          <t>above</t>
        </is>
      </c>
      <c r="U17" s="86" t="inlineStr">
        <is>
          <t>No</t>
        </is>
      </c>
      <c r="V17" s="123">
        <f>IF(OR(B17="",B16=""),"",B17/B16-1)</f>
        <v/>
      </c>
      <c r="W17" s="79">
        <f>IF(B17="","",B17/$B$3-1)</f>
        <v/>
      </c>
      <c r="X17" s="78">
        <f>IF(B17="","",MAX($B$3:B17))</f>
        <v/>
      </c>
      <c r="Y17" s="79">
        <f>IF(OR(B17="",X17=""),"",B17/X17-1)</f>
        <v/>
      </c>
      <c r="Z17" s="78">
        <f>IF(D17="","",$B$3*D17/$D$3)</f>
        <v/>
      </c>
      <c r="AA17" s="79">
        <f>IF(D17="","",D17/$D$3-1)</f>
        <v/>
      </c>
      <c r="AB17" s="79">
        <f>IF(OR(W17="",AA17=""),"",W17-AA17)</f>
        <v/>
      </c>
      <c r="AC17" s="124" t="n"/>
      <c r="AD17" s="125" t="n"/>
      <c r="AE17" s="78">
        <f>IF(AD17="","",AC17*AD17)</f>
        <v/>
      </c>
      <c r="AF17" s="79">
        <f>IF(OR(AE17="",B17="",B17=0),"",AE17/B17)</f>
        <v/>
      </c>
      <c r="AG17" s="125" t="n">
        <v>76.11</v>
      </c>
      <c r="AH17" s="126" t="n"/>
      <c r="AI17" s="126" t="n"/>
      <c r="AJ17" s="126" t="n"/>
    </row>
    <row r="18" ht="15.75" customHeight="1" s="68">
      <c r="A18" s="117" t="n">
        <v>46258</v>
      </c>
      <c r="B18" s="118">
        <f>IF(AND(E18="",I18="",AE18="",AG18=""),"",SUM(E18,I18,AE18,AG18))</f>
        <v/>
      </c>
      <c r="C18" s="119" t="n">
        <v>142.979904645</v>
      </c>
      <c r="D18" s="84" t="n">
        <v>706.3200000000001</v>
      </c>
      <c r="E18" s="84">
        <f>IF(D18="","",D18*C18)</f>
        <v/>
      </c>
      <c r="F18" s="120">
        <f>IF(B18="","",E18/B18)</f>
        <v/>
      </c>
      <c r="G18" s="119" t="n">
        <v>37.394546231</v>
      </c>
      <c r="H18" s="84" t="n">
        <v>69.01000000000001</v>
      </c>
      <c r="I18" s="84">
        <f>IF(H18="","",H18*G18)</f>
        <v/>
      </c>
      <c r="J18" s="120">
        <f>IF(B18="","",I18/B18)</f>
        <v/>
      </c>
      <c r="K18" s="121">
        <f>IF(B18="","",F18+J18*3)</f>
        <v/>
      </c>
      <c r="L18" s="82" t="inlineStr">
        <is>
          <t>1.05x</t>
        </is>
      </c>
      <c r="M18" s="67" t="inlineStr">
        <is>
          <t>no change - hold current position</t>
        </is>
      </c>
      <c r="N18" s="85" t="inlineStr">
        <is>
          <t>1.14x</t>
        </is>
      </c>
      <c r="O18" s="122" t="n">
        <v>0.89</v>
      </c>
      <c r="P18" s="83" t="n">
        <v>0.42</v>
      </c>
      <c r="Q18" s="67" t="n">
        <v>0.92</v>
      </c>
      <c r="R18" s="67" t="n">
        <v>0.17</v>
      </c>
      <c r="S18" s="67" t="n">
        <v>95</v>
      </c>
      <c r="T18" s="67" t="inlineStr">
        <is>
          <t>above</t>
        </is>
      </c>
      <c r="U18" s="86" t="inlineStr">
        <is>
          <t>No</t>
        </is>
      </c>
      <c r="V18" s="123">
        <f>IF(OR(B18="",B17=""),"",B18/B17-1)</f>
        <v/>
      </c>
      <c r="W18" s="79">
        <f>IF(B18="","",B18/$B$3-1)</f>
        <v/>
      </c>
      <c r="X18" s="78">
        <f>IF(B18="","",MAX($B$3:B18))</f>
        <v/>
      </c>
      <c r="Y18" s="79">
        <f>IF(OR(B18="",X18=""),"",B18/X18-1)</f>
        <v/>
      </c>
      <c r="Z18" s="78">
        <f>IF(D18="","",$B$3*D18/$D$3)</f>
        <v/>
      </c>
      <c r="AA18" s="79">
        <f>IF(D18="","",D18/$D$3-1)</f>
        <v/>
      </c>
      <c r="AB18" s="79">
        <f>IF(OR(W18="",AA18=""),"",W18-AA18)</f>
        <v/>
      </c>
      <c r="AC18" s="124" t="n"/>
      <c r="AD18" s="125" t="n"/>
      <c r="AE18" s="78">
        <f>IF(AD18="","",AC18*AD18)</f>
        <v/>
      </c>
      <c r="AF18" s="79">
        <f>IF(OR(AE18="",B18="",B18=0),"",AE18/B18)</f>
        <v/>
      </c>
      <c r="AG18" s="125" t="n">
        <v>76.11</v>
      </c>
      <c r="AH18" s="126" t="n"/>
      <c r="AI18" s="126" t="n"/>
      <c r="AJ18" s="126" t="n"/>
    </row>
    <row r="19" ht="15.75" customHeight="1" s="68">
      <c r="A19" s="117" t="n">
        <v>46259</v>
      </c>
      <c r="B19" s="118">
        <f>IF(AND(E19="",I19="",AE19="",AG19=""),"",SUM(E19,I19,AE19,AG19))</f>
        <v/>
      </c>
      <c r="C19" s="119" t="n">
        <v>124.13858943</v>
      </c>
      <c r="D19" s="84" t="n">
        <v>710.72</v>
      </c>
      <c r="E19" s="84">
        <f>IF(D19="","",D19*C19)</f>
        <v/>
      </c>
      <c r="F19" s="120">
        <f>IF(B19="","",E19/B19)</f>
        <v/>
      </c>
      <c r="G19" s="119" t="n">
        <v>229.290551937</v>
      </c>
      <c r="H19" s="84" t="n">
        <v>70.27</v>
      </c>
      <c r="I19" s="84">
        <f>IF(H19="","",H19*G19)</f>
        <v/>
      </c>
      <c r="J19" s="120">
        <f>IF(B19="","",I19/B19)</f>
        <v/>
      </c>
      <c r="K19" s="121">
        <f>IF(B19="","",F19+J19*3)</f>
        <v/>
      </c>
      <c r="L19" s="82" t="inlineStr">
        <is>
          <t>1.31x</t>
        </is>
      </c>
      <c r="M19" s="67" t="inlineStr">
        <is>
          <t>REBALANCE — 96.50% QQQ / 3.50% TQQQ → 84.53% QQQ / 15.47% TQQQ</t>
        </is>
      </c>
      <c r="N19" s="85" t="inlineStr">
        <is>
          <t>1.38x</t>
        </is>
      </c>
      <c r="O19" s="122" t="n">
        <v>0.89</v>
      </c>
      <c r="P19" s="83" t="n">
        <v>0.44</v>
      </c>
      <c r="Q19" s="67" t="n">
        <v>0.92</v>
      </c>
      <c r="R19" s="67" t="n">
        <v>0.17</v>
      </c>
      <c r="S19" s="67" t="n">
        <v>96</v>
      </c>
      <c r="T19" s="67" t="inlineStr">
        <is>
          <t>above</t>
        </is>
      </c>
      <c r="U19" s="86" t="inlineStr">
        <is>
          <t>No</t>
        </is>
      </c>
      <c r="V19" s="123">
        <f>IF(OR(B19="",B18=""),"",B19/B18-1)</f>
        <v/>
      </c>
      <c r="W19" s="79">
        <f>IF(B19="","",B19/$B$3-1)</f>
        <v/>
      </c>
      <c r="X19" s="78">
        <f>IF(B19="","",MAX($B$3:B19))</f>
        <v/>
      </c>
      <c r="Y19" s="79">
        <f>IF(OR(B19="",X19=""),"",B19/X19-1)</f>
        <v/>
      </c>
      <c r="Z19" s="78">
        <f>IF(D19="","",$B$3*D19/$D$3)</f>
        <v/>
      </c>
      <c r="AA19" s="79">
        <f>IF(D19="","",D19/$D$3-1)</f>
        <v/>
      </c>
      <c r="AB19" s="79">
        <f>IF(OR(W19="",AA19=""),"",W19-AA19)</f>
        <v/>
      </c>
      <c r="AC19" s="124" t="n"/>
      <c r="AD19" s="125" t="n"/>
      <c r="AE19" s="78">
        <f>IF(AD19="","",AC19*AD19)</f>
        <v/>
      </c>
      <c r="AF19" s="79">
        <f>IF(OR(AE19="",B19="",B19=0),"",AE19/B19)</f>
        <v/>
      </c>
      <c r="AG19" s="125" t="n">
        <v>-0.3</v>
      </c>
      <c r="AH19" s="126" t="inlineStr">
        <is>
          <t>Y</t>
        </is>
      </c>
      <c r="AI19" s="126" t="n"/>
      <c r="AJ19" s="126" t="inlineStr">
        <is>
          <t>BUG WAS FOUND IN THE FETCH AND BUILD PY FILE</t>
        </is>
      </c>
    </row>
    <row r="20" ht="15.75" customHeight="1" s="68">
      <c r="A20" s="117" t="n">
        <v>46260</v>
      </c>
      <c r="B20" s="118">
        <f>IF(AND(E20="",I20="",AE20="",AG20=""),"",SUM(E20,I20,AE20,AG20))</f>
        <v/>
      </c>
      <c r="C20" s="119" t="n">
        <v>143.270176894</v>
      </c>
      <c r="D20" s="84" t="n">
        <v>711.37</v>
      </c>
      <c r="E20" s="84">
        <f>IF(D20="","",D20*C20)</f>
        <v/>
      </c>
      <c r="F20" s="120">
        <f>IF(B20="","",E20/B20)</f>
        <v/>
      </c>
      <c r="G20" s="119" t="n">
        <v>35.68685087</v>
      </c>
      <c r="H20" s="84" t="n">
        <v>70.47</v>
      </c>
      <c r="I20" s="84">
        <f>IF(H20="","",H20*G20)</f>
        <v/>
      </c>
      <c r="J20" s="120">
        <f>IF(B20="","",I20/B20)</f>
        <v/>
      </c>
      <c r="K20" s="121">
        <f>IF(B20="","",F20+J20*3)</f>
        <v/>
      </c>
      <c r="L20" s="82" t="inlineStr">
        <is>
          <t>1.05x</t>
        </is>
      </c>
      <c r="M20" s="67" t="inlineStr">
        <is>
          <t>REBALANCE — 84.53% QQQ / 15.47% TQQQ → 96.50% QQQ / 3.50% TQQQ</t>
        </is>
      </c>
      <c r="N20" s="85" t="inlineStr">
        <is>
          <t>1.13x</t>
        </is>
      </c>
      <c r="O20" s="122" t="n">
        <v>0.89</v>
      </c>
      <c r="P20" s="83" t="n">
        <v>0.45</v>
      </c>
      <c r="Q20" s="67" t="n">
        <v>0.92</v>
      </c>
      <c r="R20" s="67" t="n">
        <v>0.17</v>
      </c>
      <c r="S20" s="67" t="n">
        <v>97</v>
      </c>
      <c r="T20" s="67" t="inlineStr">
        <is>
          <t>above</t>
        </is>
      </c>
      <c r="U20" s="86" t="inlineStr">
        <is>
          <t>No</t>
        </is>
      </c>
      <c r="V20" s="123">
        <f>IF(OR(B20="",B19=""),"",B20/B19-1)</f>
        <v/>
      </c>
      <c r="W20" s="79">
        <f>IF(B20="","",B20/$B$3-1)</f>
        <v/>
      </c>
      <c r="X20" s="78">
        <f>IF(B20="","",MAX($B$3:B20))</f>
        <v/>
      </c>
      <c r="Y20" s="79">
        <f>IF(OR(B20="",X20=""),"",B20/X20-1)</f>
        <v/>
      </c>
      <c r="Z20" s="78">
        <f>IF(D20="","",$B$3*D20/$D$3)</f>
        <v/>
      </c>
      <c r="AA20" s="79">
        <f>IF(D20="","",D20/$D$3-1)</f>
        <v/>
      </c>
      <c r="AB20" s="79">
        <f>IF(OR(W20="",AA20=""),"",W20-AA20)</f>
        <v/>
      </c>
      <c r="AC20" s="124" t="n"/>
      <c r="AD20" s="125" t="n"/>
      <c r="AE20" s="78">
        <f>IF(AD20="","",AC20*AD20)</f>
        <v/>
      </c>
      <c r="AF20" s="79">
        <f>IF(OR(AE20="",B20="",B20=0),"",AE20/B20)</f>
        <v/>
      </c>
      <c r="AG20" s="125" t="n">
        <v>-0.64</v>
      </c>
      <c r="AH20" s="126" t="inlineStr">
        <is>
          <t>Y</t>
        </is>
      </c>
      <c r="AI20" s="126" t="n"/>
      <c r="AJ20" s="126" t="inlineStr">
        <is>
          <t>Adjustment back after bug fix</t>
        </is>
      </c>
    </row>
    <row r="21" ht="15.75" customHeight="1" s="68">
      <c r="A21" s="117" t="n">
        <v>46261</v>
      </c>
      <c r="B21" s="118">
        <f>IF(AND(E21="",I21="",AE21="",AG21=""),"",SUM(E21,I21,AE21,AG21))</f>
        <v/>
      </c>
      <c r="C21" s="119" t="n">
        <v>132.028601744</v>
      </c>
      <c r="D21" s="84" t="n">
        <v>721.11</v>
      </c>
      <c r="E21" s="84">
        <f>IF(D21="","",D21*C21)</f>
        <v/>
      </c>
      <c r="F21" s="120">
        <f>IF(B21="","",E21/B21)</f>
        <v/>
      </c>
      <c r="G21" s="119" t="n">
        <v>147.834704827</v>
      </c>
      <c r="H21" s="84" t="n">
        <v>73.3</v>
      </c>
      <c r="I21" s="84">
        <f>IF(H21="","",H21*G21)</f>
        <v/>
      </c>
      <c r="J21" s="120">
        <f>IF(B21="","",I21/B21)</f>
        <v/>
      </c>
      <c r="K21" s="121">
        <f>IF(B21="","",F21+J21*3)</f>
        <v/>
      </c>
      <c r="L21" s="82" t="inlineStr">
        <is>
          <t>1.20x</t>
        </is>
      </c>
      <c r="M21" s="67" t="inlineStr">
        <is>
          <t>REBALANCE — 96.50% QQQ / 3.50% TQQQ → 89.91% QQQ / 10.09% TQQQ</t>
        </is>
      </c>
      <c r="N21" s="85" t="inlineStr">
        <is>
          <t>1.20x</t>
        </is>
      </c>
      <c r="O21" s="122" t="n">
        <v>0.89</v>
      </c>
      <c r="P21" s="83" t="n">
        <v>0.43</v>
      </c>
      <c r="Q21" s="67" t="n">
        <v>0.92</v>
      </c>
      <c r="R21" s="67" t="n">
        <v>0.17</v>
      </c>
      <c r="S21" s="67" t="n">
        <v>98</v>
      </c>
      <c r="T21" s="67" t="inlineStr">
        <is>
          <t>above</t>
        </is>
      </c>
      <c r="U21" s="86" t="inlineStr">
        <is>
          <t>No</t>
        </is>
      </c>
      <c r="V21" s="123">
        <f>IF(OR(B21="",B20=""),"",B21/B20-1)</f>
        <v/>
      </c>
      <c r="W21" s="79">
        <f>IF(B21="","",B21/$B$3-1)</f>
        <v/>
      </c>
      <c r="X21" s="78">
        <f>IF(B21="","",MAX($B$3:B21))</f>
        <v/>
      </c>
      <c r="Y21" s="79">
        <f>IF(OR(B21="",X21=""),"",B21/X21-1)</f>
        <v/>
      </c>
      <c r="Z21" s="78">
        <f>IF(D21="","",$B$3*D21/$D$3)</f>
        <v/>
      </c>
      <c r="AA21" s="79">
        <f>IF(D21="","",D21/$D$3-1)</f>
        <v/>
      </c>
      <c r="AB21" s="79">
        <f>IF(OR(W21="",AA21=""),"",W21-AA21)</f>
        <v/>
      </c>
      <c r="AC21" s="124" t="n"/>
      <c r="AD21" s="125" t="n"/>
      <c r="AE21" s="78">
        <f>IF(AD21="","",AC21*AD21)</f>
        <v/>
      </c>
      <c r="AF21" s="79">
        <f>IF(OR(AE21="",B21="",B21=0),"",AE21/B21)</f>
        <v/>
      </c>
      <c r="AG21" s="125" t="n">
        <v>-0.53</v>
      </c>
      <c r="AH21" s="126" t="inlineStr">
        <is>
          <t>Y</t>
        </is>
      </c>
      <c r="AI21" s="126" t="n"/>
      <c r="AJ21" s="126" t="n"/>
    </row>
    <row r="22" ht="15.75" customHeight="1" s="68">
      <c r="A22" s="117" t="n">
        <v>46262</v>
      </c>
      <c r="B22" s="118">
        <f>IF(AND(E22="",I22="",AE22="",AG22=""),"",SUM(E22,I22,AE22,AG22))</f>
        <v/>
      </c>
      <c r="C22" s="119" t="n">
        <v>117.828457095</v>
      </c>
      <c r="D22" s="84" t="n">
        <v>716.4299999999999</v>
      </c>
      <c r="E22" s="84">
        <f>IF(D22="","",D22*C22)</f>
        <v/>
      </c>
      <c r="F22" s="120">
        <f>IF(B22="","",E22/B22)</f>
        <v/>
      </c>
      <c r="G22" s="119" t="n">
        <v>288.695317578</v>
      </c>
      <c r="H22" s="84" t="n">
        <v>71.84999999999999</v>
      </c>
      <c r="I22" s="84">
        <f>IF(H22="","",H22*G22)</f>
        <v/>
      </c>
      <c r="J22" s="120">
        <f>IF(B22="","",I22/B22)</f>
        <v/>
      </c>
      <c r="K22" s="121">
        <f>IF(B22="","",F22+J22*3)</f>
        <v/>
      </c>
      <c r="L22" s="82" t="inlineStr">
        <is>
          <t>1.40x</t>
        </is>
      </c>
      <c r="M22" s="67" t="inlineStr">
        <is>
          <t>REBALANCE — 89.91% QQQ / 10.09% TQQQ → 80.17% QQQ / 19.83% TQQQ</t>
        </is>
      </c>
      <c r="N22" s="85" t="inlineStr">
        <is>
          <t>1.40x</t>
        </is>
      </c>
      <c r="O22" s="122" t="n">
        <v>0.9</v>
      </c>
      <c r="P22" s="83" t="n">
        <v>0.43</v>
      </c>
      <c r="Q22" s="67" t="n">
        <v>0.92</v>
      </c>
      <c r="R22" s="67" t="n">
        <v>0.17</v>
      </c>
      <c r="S22" s="67" t="n">
        <v>99</v>
      </c>
      <c r="T22" s="67" t="inlineStr">
        <is>
          <t>above</t>
        </is>
      </c>
      <c r="U22" s="86" t="inlineStr">
        <is>
          <t>No</t>
        </is>
      </c>
      <c r="V22" s="123">
        <f>IF(OR(B22="",B21=""),"",B22/B21-1)</f>
        <v/>
      </c>
      <c r="W22" s="79">
        <f>IF(B22="","",B22/$B$3-1)</f>
        <v/>
      </c>
      <c r="X22" s="78">
        <f>IF(B22="","",MAX($B$3:B22))</f>
        <v/>
      </c>
      <c r="Y22" s="79">
        <f>IF(OR(B22="",X22=""),"",B22/X22-1)</f>
        <v/>
      </c>
      <c r="Z22" s="78">
        <f>IF(D22="","",$B$3*D22/$D$3)</f>
        <v/>
      </c>
      <c r="AA22" s="79">
        <f>IF(D22="","",D22/$D$3-1)</f>
        <v/>
      </c>
      <c r="AB22" s="79">
        <f>IF(OR(W22="",AA22=""),"",W22-AA22)</f>
        <v/>
      </c>
      <c r="AC22" s="124" t="n"/>
      <c r="AD22" s="125" t="n"/>
      <c r="AE22" s="78">
        <f>IF(AD22="","",AC22*AD22)</f>
        <v/>
      </c>
      <c r="AF22" s="79">
        <f>IF(OR(AE22="",B22="",B22=0),"",AE22/B22)</f>
        <v/>
      </c>
      <c r="AG22" s="125" t="n">
        <v>-0.43</v>
      </c>
      <c r="AH22" s="126" t="inlineStr">
        <is>
          <t>Y</t>
        </is>
      </c>
      <c r="AI22" s="126" t="n"/>
      <c r="AJ22" s="126" t="n"/>
    </row>
    <row r="23" ht="15.75" customHeight="1" s="68">
      <c r="A23" s="117" t="n">
        <v>46265</v>
      </c>
      <c r="B23" s="118">
        <f>IF(AND(E23="",I23="",AE23="",AG23=""),"",SUM(E23,I23,AE23,AG23))</f>
        <v/>
      </c>
      <c r="C23" s="119" t="n">
        <v>117.828457095</v>
      </c>
      <c r="D23" s="84" t="n">
        <v>716.76</v>
      </c>
      <c r="E23" s="84">
        <f>IF(D23="","",D23*C23)</f>
        <v/>
      </c>
      <c r="F23" s="120">
        <f>IF(B23="","",E23/B23)</f>
        <v/>
      </c>
      <c r="G23" s="119" t="n">
        <v>288.695317578</v>
      </c>
      <c r="H23" s="84" t="n">
        <v>71.92</v>
      </c>
      <c r="I23" s="84">
        <f>IF(H23="","",H23*G23)</f>
        <v/>
      </c>
      <c r="J23" s="120">
        <f>IF(B23="","",I23/B23)</f>
        <v/>
      </c>
      <c r="K23" s="121">
        <f>IF(B23="","",F23+J23*3)</f>
        <v/>
      </c>
      <c r="L23" s="82" t="inlineStr">
        <is>
          <t>1.40x</t>
        </is>
      </c>
      <c r="M23" s="67" t="inlineStr">
        <is>
          <t>no change - hold current position</t>
        </is>
      </c>
      <c r="N23" s="85" t="inlineStr">
        <is>
          <t>1.39x</t>
        </is>
      </c>
      <c r="O23" s="122" t="n">
        <v>0.9</v>
      </c>
      <c r="P23" s="83" t="n">
        <v>0.44</v>
      </c>
      <c r="Q23" s="67" t="n">
        <v>0.92</v>
      </c>
      <c r="R23" s="67" t="n">
        <v>0.17</v>
      </c>
      <c r="S23" s="67" t="n">
        <v>100</v>
      </c>
      <c r="T23" s="67" t="inlineStr">
        <is>
          <t>above</t>
        </is>
      </c>
      <c r="U23" s="86" t="inlineStr">
        <is>
          <t>No</t>
        </is>
      </c>
      <c r="V23" s="123">
        <f>IF(OR(B23="",B22=""),"",B23/B22-1)</f>
        <v/>
      </c>
      <c r="W23" s="79">
        <f>IF(B23="","",B23/$B$3-1)</f>
        <v/>
      </c>
      <c r="X23" s="78">
        <f>IF(B23="","",MAX($B$3:B23))</f>
        <v/>
      </c>
      <c r="Y23" s="79">
        <f>IF(OR(B23="",X23=""),"",B23/X23-1)</f>
        <v/>
      </c>
      <c r="Z23" s="78">
        <f>IF(D23="","",$B$3*D23/$D$3)</f>
        <v/>
      </c>
      <c r="AA23" s="79">
        <f>IF(D23="","",D23/$D$3-1)</f>
        <v/>
      </c>
      <c r="AB23" s="79">
        <f>IF(OR(W23="",AA23=""),"",W23-AA23)</f>
        <v/>
      </c>
      <c r="AC23" s="124" t="n"/>
      <c r="AD23" s="125" t="n"/>
      <c r="AE23" s="78">
        <f>IF(AD23="","",AC23*AD23)</f>
        <v/>
      </c>
      <c r="AF23" s="79">
        <f>IF(OR(AE23="",B23="",B23=0),"",AE23/B23)</f>
        <v/>
      </c>
      <c r="AG23" s="125" t="n">
        <v>-0.43</v>
      </c>
      <c r="AH23" s="126" t="n"/>
      <c r="AI23" s="126" t="n"/>
      <c r="AJ23" s="126" t="n"/>
    </row>
    <row r="24" ht="15.75" customHeight="1" s="68">
      <c r="A24" s="117" t="n">
        <v>46266</v>
      </c>
      <c r="B24" s="118">
        <f>IF(AND(E24="",I24="",AE24="",AG24=""),"",SUM(E24,I24,AE24,AG24))</f>
        <v/>
      </c>
      <c r="C24" s="119" t="n">
        <v>117.828457095</v>
      </c>
      <c r="D24" s="84" t="n">
        <v>707.64</v>
      </c>
      <c r="E24" s="84">
        <f>IF(D24="","",D24*C24)</f>
        <v/>
      </c>
      <c r="F24" s="120">
        <f>IF(B24="","",E24/B24)</f>
        <v/>
      </c>
      <c r="G24" s="119" t="n">
        <v>288.695317578</v>
      </c>
      <c r="H24" s="84" t="n">
        <v>69.15000000000001</v>
      </c>
      <c r="I24" s="84">
        <f>IF(H24="","",H24*G24)</f>
        <v/>
      </c>
      <c r="J24" s="120">
        <f>IF(B24="","",I24/B24)</f>
        <v/>
      </c>
      <c r="K24" s="121">
        <f>IF(B24="","",F24+J24*3)</f>
        <v/>
      </c>
      <c r="L24" s="82" t="inlineStr">
        <is>
          <t>1.40x</t>
        </is>
      </c>
      <c r="M24" s="67" t="inlineStr">
        <is>
          <t>no change - hold current position</t>
        </is>
      </c>
      <c r="N24" s="85" t="inlineStr">
        <is>
          <t>1.49x</t>
        </is>
      </c>
      <c r="O24" s="122" t="n">
        <v>0.9</v>
      </c>
      <c r="P24" s="83" t="n">
        <v>0.44</v>
      </c>
      <c r="Q24" s="67" t="n">
        <v>0.92</v>
      </c>
      <c r="R24" s="67" t="n">
        <v>0.17</v>
      </c>
      <c r="S24" s="67" t="n">
        <v>101</v>
      </c>
      <c r="T24" s="67" t="inlineStr">
        <is>
          <t>above</t>
        </is>
      </c>
      <c r="U24" s="86" t="inlineStr">
        <is>
          <t>No</t>
        </is>
      </c>
      <c r="V24" s="123">
        <f>IF(OR(B24="",B23=""),"",B24/B23-1)</f>
        <v/>
      </c>
      <c r="W24" s="79">
        <f>IF(B24="","",B24/$B$3-1)</f>
        <v/>
      </c>
      <c r="X24" s="78">
        <f>IF(B24="","",MAX($B$3:B24))</f>
        <v/>
      </c>
      <c r="Y24" s="79">
        <f>IF(OR(B24="",X24=""),"",B24/X24-1)</f>
        <v/>
      </c>
      <c r="Z24" s="78">
        <f>IF(D24="","",$B$3*D24/$D$3)</f>
        <v/>
      </c>
      <c r="AA24" s="79">
        <f>IF(D24="","",D24/$D$3-1)</f>
        <v/>
      </c>
      <c r="AB24" s="79">
        <f>IF(OR(W24="",AA24=""),"",W24-AA24)</f>
        <v/>
      </c>
      <c r="AC24" s="124" t="n"/>
      <c r="AD24" s="125" t="n"/>
      <c r="AE24" s="78">
        <f>IF(AD24="","",AC24*AD24)</f>
        <v/>
      </c>
      <c r="AF24" s="79">
        <f>IF(OR(AE24="",B24="",B24=0),"",AE24/B24)</f>
        <v/>
      </c>
      <c r="AG24" s="125" t="n">
        <v>-0.43</v>
      </c>
      <c r="AH24" s="126" t="n"/>
      <c r="AI24" s="126" t="n"/>
      <c r="AJ24" s="126" t="n"/>
    </row>
    <row r="25" ht="15.75" customHeight="1" s="68">
      <c r="A25" s="117" t="n">
        <v>46267</v>
      </c>
      <c r="B25" s="118">
        <f>IF(AND(E25="",I25="",AE25="",AG25=""),"",SUM(E25,I25,AE25,AG25))</f>
        <v/>
      </c>
      <c r="C25" s="119" t="n">
        <v>117.828457095</v>
      </c>
      <c r="D25" s="84" t="n">
        <v>709.24</v>
      </c>
      <c r="E25" s="84">
        <f>IF(D25="","",D25*C25)</f>
        <v/>
      </c>
      <c r="F25" s="120">
        <f>IF(B25="","",E25/B25)</f>
        <v/>
      </c>
      <c r="G25" s="119" t="n">
        <v>288.695317578</v>
      </c>
      <c r="H25" s="84" t="n">
        <v>69.59999999999999</v>
      </c>
      <c r="I25" s="84">
        <f>IF(H25="","",H25*G25)</f>
        <v/>
      </c>
      <c r="J25" s="120">
        <f>IF(B25="","",I25/B25)</f>
        <v/>
      </c>
      <c r="K25" s="121">
        <f>IF(B25="","",F25+J25*3)</f>
        <v/>
      </c>
      <c r="L25" s="82" t="inlineStr">
        <is>
          <t>1.40x</t>
        </is>
      </c>
      <c r="M25" s="67" t="inlineStr">
        <is>
          <t>no change - hold current position</t>
        </is>
      </c>
      <c r="N25" s="85" t="inlineStr">
        <is>
          <t>1.44x</t>
        </is>
      </c>
      <c r="O25" s="122" t="n">
        <v>0.89</v>
      </c>
      <c r="P25" s="83" t="n">
        <v>0.48</v>
      </c>
      <c r="Q25" s="83" t="n">
        <v>0.91</v>
      </c>
      <c r="R25" s="83" t="n">
        <v>0.28</v>
      </c>
      <c r="S25" s="67" t="n">
        <v>102</v>
      </c>
      <c r="T25" s="67" t="inlineStr">
        <is>
          <t>above</t>
        </is>
      </c>
      <c r="U25" s="86" t="inlineStr">
        <is>
          <t>No</t>
        </is>
      </c>
      <c r="V25" s="123">
        <f>IF(OR(B25="",B24=""),"",B25/B24-1)</f>
        <v/>
      </c>
      <c r="W25" s="79">
        <f>IF(B25="","",B25/$B$3-1)</f>
        <v/>
      </c>
      <c r="X25" s="78">
        <f>IF(B25="","",MAX($B$3:B25))</f>
        <v/>
      </c>
      <c r="Y25" s="79">
        <f>IF(OR(B25="",X25=""),"",B25/X25-1)</f>
        <v/>
      </c>
      <c r="Z25" s="78">
        <f>IF(D25="","",$B$3*D25/$D$3)</f>
        <v/>
      </c>
      <c r="AA25" s="79">
        <f>IF(D25="","",D25/$D$3-1)</f>
        <v/>
      </c>
      <c r="AB25" s="79">
        <f>IF(OR(W25="",AA25=""),"",W25-AA25)</f>
        <v/>
      </c>
      <c r="AC25" s="124" t="n"/>
      <c r="AD25" s="125" t="n"/>
      <c r="AE25" s="78">
        <f>IF(AD25="","",AC25*AD25)</f>
        <v/>
      </c>
      <c r="AF25" s="79">
        <f>IF(OR(AE25="",B25="",B25=0),"",AE25/B25)</f>
        <v/>
      </c>
      <c r="AG25" s="125" t="n">
        <v>-0.43</v>
      </c>
      <c r="AH25" s="126" t="n"/>
      <c r="AI25" s="126" t="n"/>
      <c r="AJ25" s="126" t="n"/>
    </row>
    <row r="26" ht="15.75" customHeight="1" s="68">
      <c r="A26" s="117" t="n">
        <v>46268</v>
      </c>
      <c r="B26" s="118">
        <f>IF(AND(E26="",I26="",AE26="",AG26=""),"",SUM(E26,I26,AE26,AG26))</f>
        <v/>
      </c>
      <c r="C26" s="119" t="n">
        <v>79.076368664</v>
      </c>
      <c r="D26" s="84" t="n">
        <v>717.67</v>
      </c>
      <c r="E26" s="84">
        <f>IF(D26="","",D26*C26)</f>
        <v/>
      </c>
      <c r="F26" s="120">
        <f>IF(B26="","",E26/B26)</f>
        <v/>
      </c>
      <c r="G26" s="119" t="n">
        <v>682.0724693769999</v>
      </c>
      <c r="H26" s="84" t="n">
        <v>72.03</v>
      </c>
      <c r="I26" s="84">
        <f>IF(H26="","",H26*G26)</f>
        <v/>
      </c>
      <c r="J26" s="120">
        <f>IF(B26="","",I26/B26)</f>
        <v/>
      </c>
      <c r="K26" s="121">
        <f>IF(B26="","",F26+J26*3)</f>
        <v/>
      </c>
      <c r="L26" s="82" t="inlineStr">
        <is>
          <t>1.92x</t>
        </is>
      </c>
      <c r="M26" s="67" t="inlineStr">
        <is>
          <t>REBALANCE — 80.17% QQQ / 19.83% TQQQ → 54.04% QQQ / 45.96% TQQQ</t>
        </is>
      </c>
      <c r="N26" s="85" t="inlineStr">
        <is>
          <t>1.97x</t>
        </is>
      </c>
      <c r="O26" s="122" t="n">
        <v>0.9</v>
      </c>
      <c r="P26" s="83" t="n">
        <v>0.44</v>
      </c>
      <c r="Q26" s="83" t="n">
        <v>0.91</v>
      </c>
      <c r="R26" s="83" t="n">
        <v>0.28</v>
      </c>
      <c r="S26" s="67" t="n">
        <v>103</v>
      </c>
      <c r="T26" s="67" t="inlineStr">
        <is>
          <t>above</t>
        </is>
      </c>
      <c r="U26" s="86" t="inlineStr">
        <is>
          <t>No</t>
        </is>
      </c>
      <c r="V26" s="123">
        <f>IF(OR(B26="",B25=""),"",B26/B25-1)</f>
        <v/>
      </c>
      <c r="W26" s="79">
        <f>IF(B26="","",B26/$B$3-1)</f>
        <v/>
      </c>
      <c r="X26" s="78">
        <f>IF(B26="","",MAX($B$3:B26))</f>
        <v/>
      </c>
      <c r="Y26" s="79">
        <f>IF(OR(B26="",X26=""),"",B26/X26-1)</f>
        <v/>
      </c>
      <c r="Z26" s="78">
        <f>IF(D26="","",$B$3*D26/$D$3)</f>
        <v/>
      </c>
      <c r="AA26" s="79">
        <f>IF(D26="","",D26/$D$3-1)</f>
        <v/>
      </c>
      <c r="AB26" s="79">
        <f>IF(OR(W26="",AA26=""),"",W26-AA26)</f>
        <v/>
      </c>
      <c r="AC26" s="124" t="n"/>
      <c r="AD26" s="125" t="n"/>
      <c r="AE26" s="78">
        <f>IF(AD26="","",AC26*AD26)</f>
        <v/>
      </c>
      <c r="AF26" s="79">
        <f>IF(OR(AE26="",B26="",B26=0),"",AE26/B26)</f>
        <v/>
      </c>
      <c r="AG26" s="125" t="n">
        <v>-0.59</v>
      </c>
      <c r="AH26" s="126" t="inlineStr">
        <is>
          <t>Y</t>
        </is>
      </c>
      <c r="AI26" s="126" t="n"/>
      <c r="AJ26" s="126" t="n"/>
    </row>
    <row r="27" ht="15.75" customHeight="1" s="68">
      <c r="A27" s="117" t="n">
        <v>46269</v>
      </c>
      <c r="B27" s="118">
        <f>IF(AND(E27="",I27="",AE27="",AG27=""),"",SUM(E27,I27,AE27,AG27))</f>
        <v/>
      </c>
      <c r="C27" s="119" t="n">
        <v>79.076368664</v>
      </c>
      <c r="D27" s="84" t="n">
        <v>718.96</v>
      </c>
      <c r="E27" s="84">
        <f>IF(D27="","",D27*C27)</f>
        <v/>
      </c>
      <c r="F27" s="120">
        <f>IF(B27="","",E27/B27)</f>
        <v/>
      </c>
      <c r="G27" s="119" t="n">
        <v>682.0724693769999</v>
      </c>
      <c r="H27" s="84" t="n">
        <v>72.37</v>
      </c>
      <c r="I27" s="84">
        <f>IF(H27="","",H27*G27)</f>
        <v/>
      </c>
      <c r="J27" s="120">
        <f>IF(B27="","",I27/B27)</f>
        <v/>
      </c>
      <c r="K27" s="121">
        <f>IF(B27="","",F27+J27*3)</f>
        <v/>
      </c>
      <c r="L27" s="82" t="inlineStr">
        <is>
          <t>1.92x</t>
        </is>
      </c>
      <c r="M27" s="67" t="inlineStr">
        <is>
          <t>no change - hold current position</t>
        </is>
      </c>
      <c r="N27" s="85" t="inlineStr">
        <is>
          <t>1.88x</t>
        </is>
      </c>
      <c r="O27" s="122" t="n">
        <v>0.9</v>
      </c>
      <c r="P27" s="83" t="n">
        <v>0.43</v>
      </c>
      <c r="Q27" s="83" t="n">
        <v>0.91</v>
      </c>
      <c r="R27" s="83" t="n">
        <v>0.28</v>
      </c>
      <c r="S27" s="67" t="n">
        <v>104</v>
      </c>
      <c r="T27" s="67" t="inlineStr">
        <is>
          <t>above</t>
        </is>
      </c>
      <c r="U27" s="86" t="inlineStr">
        <is>
          <t>No</t>
        </is>
      </c>
      <c r="V27" s="123">
        <f>IF(OR(B27="",B26=""),"",B27/B26-1)</f>
        <v/>
      </c>
      <c r="W27" s="79">
        <f>IF(B27="","",B27/$B$3-1)</f>
        <v/>
      </c>
      <c r="X27" s="78">
        <f>IF(B27="","",MAX($B$3:B27))</f>
        <v/>
      </c>
      <c r="Y27" s="79">
        <f>IF(OR(B27="",X27=""),"",B27/X27-1)</f>
        <v/>
      </c>
      <c r="Z27" s="78">
        <f>IF(D27="","",$B$3*D27/$D$3)</f>
        <v/>
      </c>
      <c r="AA27" s="79">
        <f>IF(D27="","",D27/$D$3-1)</f>
        <v/>
      </c>
      <c r="AB27" s="79">
        <f>IF(OR(W27="",AA27=""),"",W27-AA27)</f>
        <v/>
      </c>
      <c r="AC27" s="124" t="n"/>
      <c r="AD27" s="125" t="n"/>
      <c r="AE27" s="78">
        <f>IF(AD27="","",AC27*AD27)</f>
        <v/>
      </c>
      <c r="AF27" s="79">
        <f>IF(OR(AE27="",B27="",B27=0),"",AE27/B27)</f>
        <v/>
      </c>
      <c r="AG27" s="125" t="n">
        <v>-0.59</v>
      </c>
      <c r="AH27" s="126" t="n"/>
      <c r="AI27" s="126" t="n"/>
      <c r="AJ27" s="126" t="n"/>
    </row>
    <row r="28" ht="15.75" customHeight="1" s="68">
      <c r="A28" s="117" t="n">
        <v>46273</v>
      </c>
      <c r="B28" s="118">
        <f>IF(AND(E28="",I28="",AE28="",AG28=""),"",SUM(E28,I28,AE28,AG28))</f>
        <v/>
      </c>
      <c r="C28" s="119" t="n">
        <v>79.076368664</v>
      </c>
      <c r="D28" s="84" t="n">
        <v>718.36</v>
      </c>
      <c r="E28" s="84">
        <f>IF(D28="","",D28*C28)</f>
        <v/>
      </c>
      <c r="F28" s="120">
        <f>IF(B28="","",E28/B28)</f>
        <v/>
      </c>
      <c r="G28" s="119" t="n">
        <v>682.0724693769999</v>
      </c>
      <c r="H28" s="84" t="n">
        <v>72.16</v>
      </c>
      <c r="I28" s="84">
        <f>IF(H28="","",H28*G28)</f>
        <v/>
      </c>
      <c r="J28" s="120">
        <f>IF(B28="","",I28/B28)</f>
        <v/>
      </c>
      <c r="K28" s="121">
        <f>IF(B28="","",F28+J28*3)</f>
        <v/>
      </c>
      <c r="L28" s="82" t="inlineStr">
        <is>
          <t>1.92x</t>
        </is>
      </c>
      <c r="M28" s="67" t="inlineStr">
        <is>
          <t>no change - hold current position</t>
        </is>
      </c>
      <c r="N28" s="85" t="inlineStr">
        <is>
          <t>1.98x</t>
        </is>
      </c>
      <c r="O28" s="122" t="n">
        <v>0.9</v>
      </c>
      <c r="P28" s="83" t="n">
        <v>0.37</v>
      </c>
      <c r="Q28" s="83" t="n">
        <v>0.91</v>
      </c>
      <c r="R28" s="83" t="n">
        <v>0.28</v>
      </c>
      <c r="S28" s="67" t="n">
        <v>105</v>
      </c>
      <c r="T28" s="67" t="inlineStr">
        <is>
          <t>above</t>
        </is>
      </c>
      <c r="U28" s="86" t="inlineStr">
        <is>
          <t>No</t>
        </is>
      </c>
      <c r="V28" s="123">
        <f>IF(OR(B28="",B27=""),"",B28/B27-1)</f>
        <v/>
      </c>
      <c r="W28" s="79">
        <f>IF(B28="","",B28/$B$3-1)</f>
        <v/>
      </c>
      <c r="X28" s="78">
        <f>IF(B28="","",MAX($B$3:B28))</f>
        <v/>
      </c>
      <c r="Y28" s="79">
        <f>IF(OR(B28="",X28=""),"",B28/X28-1)</f>
        <v/>
      </c>
      <c r="Z28" s="78">
        <f>IF(D28="","",$B$3*D28/$D$3)</f>
        <v/>
      </c>
      <c r="AA28" s="79">
        <f>IF(D28="","",D28/$D$3-1)</f>
        <v/>
      </c>
      <c r="AB28" s="79">
        <f>IF(OR(W28="",AA28=""),"",W28-AA28)</f>
        <v/>
      </c>
      <c r="AC28" s="124" t="n"/>
      <c r="AD28" s="125" t="n"/>
      <c r="AE28" s="78">
        <f>IF(AD28="","",AC28*AD28)</f>
        <v/>
      </c>
      <c r="AF28" s="79">
        <f>IF(OR(AE28="",B28="",B28=0),"",AE28/B28)</f>
        <v/>
      </c>
      <c r="AG28" s="125" t="n">
        <v>-0.59</v>
      </c>
      <c r="AH28" s="126" t="n"/>
      <c r="AI28" s="126" t="n"/>
      <c r="AJ28" s="126" t="n"/>
    </row>
    <row r="29" ht="15.75" customHeight="1" s="68">
      <c r="A29" s="117" t="n">
        <v>46274</v>
      </c>
      <c r="B29" s="118">
        <f>IF(AND(E29="",I29="",AE29="",AG29=""),"",SUM(E29,I29,AE29,AG29))</f>
        <v/>
      </c>
      <c r="C29" s="119" t="n">
        <v>79.076368664</v>
      </c>
      <c r="D29" s="84" t="n">
        <v>716.3099999999999</v>
      </c>
      <c r="E29" s="84">
        <f>IF(D29="","",D29*C29)</f>
        <v/>
      </c>
      <c r="F29" s="120">
        <f>IF(B29="","",E29/B29)</f>
        <v/>
      </c>
      <c r="G29" s="119" t="n">
        <v>682.0724693769999</v>
      </c>
      <c r="H29" s="84" t="n">
        <v>71.55</v>
      </c>
      <c r="I29" s="84">
        <f>IF(H29="","",H29*G29)</f>
        <v/>
      </c>
      <c r="J29" s="120">
        <f>IF(B29="","",I29/B29)</f>
        <v/>
      </c>
      <c r="K29" s="121">
        <f>IF(B29="","",F29+J29*3)</f>
        <v/>
      </c>
      <c r="L29" s="82" t="inlineStr">
        <is>
          <t>1.92x</t>
        </is>
      </c>
      <c r="M29" s="67" t="inlineStr">
        <is>
          <t>no change - hold current position</t>
        </is>
      </c>
      <c r="N29" s="85" t="inlineStr">
        <is>
          <t>1.99x</t>
        </is>
      </c>
      <c r="O29" s="122" t="n">
        <v>0.89</v>
      </c>
      <c r="P29" s="83" t="n">
        <v>0.39</v>
      </c>
      <c r="Q29" s="83" t="n">
        <v>0.91</v>
      </c>
      <c r="R29" s="83" t="n">
        <v>0.28</v>
      </c>
      <c r="S29" s="67" t="n">
        <v>106</v>
      </c>
      <c r="T29" s="67" t="inlineStr">
        <is>
          <t>above</t>
        </is>
      </c>
      <c r="U29" s="86" t="inlineStr">
        <is>
          <t>No</t>
        </is>
      </c>
      <c r="V29" s="123">
        <f>IF(OR(B29="",B28=""),"",B29/B28-1)</f>
        <v/>
      </c>
      <c r="W29" s="79">
        <f>IF(B29="","",B29/$B$3-1)</f>
        <v/>
      </c>
      <c r="X29" s="78">
        <f>IF(B29="","",MAX($B$3:B29))</f>
        <v/>
      </c>
      <c r="Y29" s="79">
        <f>IF(OR(B29="",X29=""),"",B29/X29-1)</f>
        <v/>
      </c>
      <c r="Z29" s="78">
        <f>IF(D29="","",$B$3*D29/$D$3)</f>
        <v/>
      </c>
      <c r="AA29" s="79">
        <f>IF(D29="","",D29/$D$3-1)</f>
        <v/>
      </c>
      <c r="AB29" s="79">
        <f>IF(OR(W29="",AA29=""),"",W29-AA29)</f>
        <v/>
      </c>
      <c r="AC29" s="124" t="n"/>
      <c r="AD29" s="125" t="n"/>
      <c r="AE29" s="78">
        <f>IF(AD29="","",AC29*AD29)</f>
        <v/>
      </c>
      <c r="AF29" s="79">
        <f>IF(OR(AE29="",B29="",B29=0),"",AE29/B29)</f>
        <v/>
      </c>
      <c r="AG29" s="125" t="n">
        <v>-0.59</v>
      </c>
      <c r="AH29" s="126" t="n"/>
      <c r="AI29" s="126" t="n"/>
      <c r="AJ29" s="126" t="n"/>
    </row>
    <row r="30" ht="15.75" customHeight="1" s="68">
      <c r="A30" s="117" t="n">
        <v>46275</v>
      </c>
      <c r="B30" s="118">
        <f>IF(AND(E30="",I30="",AE30="",AG30=""),"",SUM(E30,I30,AE30,AG30))</f>
        <v/>
      </c>
      <c r="C30" s="119" t="n">
        <v>79.076368664</v>
      </c>
      <c r="D30" s="84" t="n">
        <v>708.6900000000001</v>
      </c>
      <c r="E30" s="84">
        <f>IF(D30="","",D30*C30)</f>
        <v/>
      </c>
      <c r="F30" s="120">
        <f>IF(B30="","",E30/B30)</f>
        <v/>
      </c>
      <c r="G30" s="119" t="n">
        <v>682.0724693769999</v>
      </c>
      <c r="H30" s="84" t="n">
        <v>69.20999999999999</v>
      </c>
      <c r="I30" s="84">
        <f>IF(H30="","",H30*G30)</f>
        <v/>
      </c>
      <c r="J30" s="120">
        <f>IF(B30="","",I30/B30)</f>
        <v/>
      </c>
      <c r="K30" s="121">
        <f>IF(B30="","",F30+J30*3)</f>
        <v/>
      </c>
      <c r="L30" s="82" t="inlineStr">
        <is>
          <t>1.92x</t>
        </is>
      </c>
      <c r="M30" s="67" t="inlineStr">
        <is>
          <t>no change - hold current position</t>
        </is>
      </c>
      <c r="N30" s="85" t="inlineStr">
        <is>
          <t>1.99x</t>
        </is>
      </c>
      <c r="O30" s="122" t="n">
        <v>0.89</v>
      </c>
      <c r="P30" s="83" t="n">
        <v>0.42</v>
      </c>
      <c r="Q30" s="83" t="n">
        <v>0.91</v>
      </c>
      <c r="R30" s="83" t="n">
        <v>0.28</v>
      </c>
      <c r="S30" s="67" t="n">
        <v>107</v>
      </c>
      <c r="T30" s="67" t="inlineStr">
        <is>
          <t>above</t>
        </is>
      </c>
      <c r="U30" s="86" t="inlineStr">
        <is>
          <t>No</t>
        </is>
      </c>
      <c r="V30" s="123">
        <f>IF(OR(B30="",B29=""),"",B30/B29-1)</f>
        <v/>
      </c>
      <c r="W30" s="79">
        <f>IF(B30="","",B30/$B$3-1)</f>
        <v/>
      </c>
      <c r="X30" s="78">
        <f>IF(B30="","",MAX($B$3:B30))</f>
        <v/>
      </c>
      <c r="Y30" s="79">
        <f>IF(OR(B30="",X30=""),"",B30/X30-1)</f>
        <v/>
      </c>
      <c r="Z30" s="78">
        <f>IF(D30="","",$B$3*D30/$D$3)</f>
        <v/>
      </c>
      <c r="AA30" s="79">
        <f>IF(D30="","",D30/$D$3-1)</f>
        <v/>
      </c>
      <c r="AB30" s="79">
        <f>IF(OR(W30="",AA30=""),"",W30-AA30)</f>
        <v/>
      </c>
      <c r="AC30" s="124" t="n"/>
      <c r="AD30" s="125" t="n"/>
      <c r="AE30" s="78">
        <f>IF(AD30="","",AC30*AD30)</f>
        <v/>
      </c>
      <c r="AF30" s="79">
        <f>IF(OR(AE30="",B30="",B30=0),"",AE30/B30)</f>
        <v/>
      </c>
      <c r="AG30" s="125" t="n">
        <v>-0.59</v>
      </c>
      <c r="AH30" s="126" t="n"/>
      <c r="AI30" s="126" t="n"/>
      <c r="AJ30" s="126" t="n"/>
    </row>
    <row r="31" ht="15.75" customHeight="1" s="68">
      <c r="A31" s="117" t="n">
        <v>46276</v>
      </c>
      <c r="B31" s="118">
        <f>IF(AND(E31="",I31="",AE31="",AG31=""),"",SUM(E31,I31,AE31,AG31))</f>
        <v/>
      </c>
      <c r="C31" s="119" t="n">
        <v>79.076368664</v>
      </c>
      <c r="D31" s="84" t="n">
        <v>714.88</v>
      </c>
      <c r="E31" s="84">
        <f>IF(D31="","",D31*C31)</f>
        <v/>
      </c>
      <c r="F31" s="120">
        <f>IF(B31="","",E31/B31)</f>
        <v/>
      </c>
      <c r="G31" s="119" t="n">
        <v>682.0724693769999</v>
      </c>
      <c r="H31" s="84" t="n">
        <v>70.98</v>
      </c>
      <c r="I31" s="84">
        <f>IF(H31="","",H31*G31)</f>
        <v/>
      </c>
      <c r="J31" s="120">
        <f>IF(B31="","",I31/B31)</f>
        <v/>
      </c>
      <c r="K31" s="121">
        <f>IF(B31="","",F31+J31*3)</f>
        <v/>
      </c>
      <c r="L31" s="82" t="inlineStr">
        <is>
          <t>1.92x</t>
        </is>
      </c>
      <c r="M31" s="67" t="inlineStr">
        <is>
          <t>no change - hold current position</t>
        </is>
      </c>
      <c r="N31" s="85" t="inlineStr">
        <is>
          <t>1.94x</t>
        </is>
      </c>
      <c r="O31" s="122" t="n">
        <v>0.89</v>
      </c>
      <c r="P31" s="83" t="n">
        <v>0.39</v>
      </c>
      <c r="Q31" s="83" t="n">
        <v>0.91</v>
      </c>
      <c r="R31" s="83" t="n">
        <v>0.28</v>
      </c>
      <c r="S31" s="67" t="n">
        <v>108</v>
      </c>
      <c r="T31" s="67" t="inlineStr">
        <is>
          <t>above</t>
        </is>
      </c>
      <c r="U31" s="86" t="inlineStr">
        <is>
          <t>No</t>
        </is>
      </c>
      <c r="V31" s="123">
        <f>IF(OR(B31="",B30=""),"",B31/B30-1)</f>
        <v/>
      </c>
      <c r="W31" s="79">
        <f>IF(B31="","",B31/$B$3-1)</f>
        <v/>
      </c>
      <c r="X31" s="78">
        <f>IF(B31="","",MAX($B$3:B31))</f>
        <v/>
      </c>
      <c r="Y31" s="79">
        <f>IF(OR(B31="",X31=""),"",B31/X31-1)</f>
        <v/>
      </c>
      <c r="Z31" s="78">
        <f>IF(D31="","",$B$3*D31/$D$3)</f>
        <v/>
      </c>
      <c r="AA31" s="79">
        <f>IF(D31="","",D31/$D$3-1)</f>
        <v/>
      </c>
      <c r="AB31" s="79">
        <f>IF(OR(W31="",AA31=""),"",W31-AA31)</f>
        <v/>
      </c>
      <c r="AC31" s="124" t="n"/>
      <c r="AD31" s="125" t="n"/>
      <c r="AE31" s="78">
        <f>IF(AD31="","",AC31*AD31)</f>
        <v/>
      </c>
      <c r="AF31" s="79">
        <f>IF(OR(AE31="",B31="",B31=0),"",AE31/B31)</f>
        <v/>
      </c>
      <c r="AG31" s="125" t="n">
        <v>-0.59</v>
      </c>
      <c r="AH31" s="126" t="n"/>
      <c r="AI31" s="126" t="n"/>
      <c r="AJ31" s="126" t="n"/>
    </row>
    <row r="32" ht="15.75" customHeight="1" s="68">
      <c r="A32" s="117" t="n">
        <v>46279</v>
      </c>
      <c r="B32" s="118">
        <f>IF(AND(E32="",I32="",AE32="",AG32=""),"",SUM(E32,I32,AE32,AG32))</f>
        <v/>
      </c>
      <c r="C32" s="119" t="n">
        <v>79.076368664</v>
      </c>
      <c r="D32" s="84" t="n">
        <v>709.1799999999999</v>
      </c>
      <c r="E32" s="84">
        <f>IF(D32="","",D32*C32)</f>
        <v/>
      </c>
      <c r="F32" s="120">
        <f>IF(B32="","",E32/B32)</f>
        <v/>
      </c>
      <c r="G32" s="119" t="n">
        <v>682.0724693769999</v>
      </c>
      <c r="H32" s="84" t="n">
        <v>69.27</v>
      </c>
      <c r="I32" s="84">
        <f>IF(H32="","",H32*G32)</f>
        <v/>
      </c>
      <c r="J32" s="120">
        <f>IF(B32="","",I32/B32)</f>
        <v/>
      </c>
      <c r="K32" s="121">
        <f>IF(B32="","",F32+J32*3)</f>
        <v/>
      </c>
      <c r="L32" s="82" t="inlineStr">
        <is>
          <t>1.92x</t>
        </is>
      </c>
      <c r="M32" s="67" t="inlineStr">
        <is>
          <t>no change - hold current position</t>
        </is>
      </c>
      <c r="N32" s="85" t="inlineStr">
        <is>
          <t>1.98x</t>
        </is>
      </c>
      <c r="O32" s="122" t="n">
        <v>0.89</v>
      </c>
      <c r="P32" s="83" t="n">
        <v>0.42</v>
      </c>
      <c r="Q32" s="83" t="n">
        <v>0.91</v>
      </c>
      <c r="R32" s="83" t="n">
        <v>0.28</v>
      </c>
      <c r="S32" s="67" t="n">
        <v>109</v>
      </c>
      <c r="T32" s="67" t="inlineStr">
        <is>
          <t>above</t>
        </is>
      </c>
      <c r="U32" s="86" t="inlineStr">
        <is>
          <t>No</t>
        </is>
      </c>
      <c r="V32" s="123">
        <f>IF(OR(B32="",B31=""),"",B32/B31-1)</f>
        <v/>
      </c>
      <c r="W32" s="79">
        <f>IF(B32="","",B32/$B$3-1)</f>
        <v/>
      </c>
      <c r="X32" s="78">
        <f>IF(B32="","",MAX($B$3:B32))</f>
        <v/>
      </c>
      <c r="Y32" s="79">
        <f>IF(OR(B32="",X32=""),"",B32/X32-1)</f>
        <v/>
      </c>
      <c r="Z32" s="78">
        <f>IF(D32="","",$B$3*D32/$D$3)</f>
        <v/>
      </c>
      <c r="AA32" s="79">
        <f>IF(D32="","",D32/$D$3-1)</f>
        <v/>
      </c>
      <c r="AB32" s="79">
        <f>IF(OR(W32="",AA32=""),"",W32-AA32)</f>
        <v/>
      </c>
      <c r="AC32" s="124" t="n"/>
      <c r="AD32" s="125" t="n"/>
      <c r="AE32" s="78">
        <f>IF(AD32="","",AC32*AD32)</f>
        <v/>
      </c>
      <c r="AF32" s="79">
        <f>IF(OR(AE32="",B32="",B32=0),"",AE32/B32)</f>
        <v/>
      </c>
      <c r="AG32" s="125" t="n">
        <v>-0.59</v>
      </c>
      <c r="AH32" s="126" t="n"/>
      <c r="AI32" s="126" t="n"/>
      <c r="AJ32" s="126" t="n"/>
    </row>
    <row r="33" ht="15.75" customHeight="1" s="68">
      <c r="A33" s="117" t="n">
        <v>46280</v>
      </c>
      <c r="B33" s="118">
        <f>IF(AND(E33="",I33="",AE33="",AG33=""),"",SUM(E33,I33,AE33,AG33))</f>
        <v/>
      </c>
      <c r="C33" s="119" t="n">
        <v>79.076368664</v>
      </c>
      <c r="D33" s="84" t="n">
        <v>704.54</v>
      </c>
      <c r="E33" s="84">
        <f>IF(D33="","",D33*C33)</f>
        <v/>
      </c>
      <c r="F33" s="120">
        <f>IF(B33="","",E33/B33)</f>
        <v/>
      </c>
      <c r="G33" s="119" t="n">
        <v>682.0724693769999</v>
      </c>
      <c r="H33" s="84" t="n">
        <v>67.90000000000001</v>
      </c>
      <c r="I33" s="84">
        <f>IF(H33="","",H33*G33)</f>
        <v/>
      </c>
      <c r="J33" s="120">
        <f>IF(B33="","",I33/B33)</f>
        <v/>
      </c>
      <c r="K33" s="121">
        <f>IF(B33="","",F33+J33*3)</f>
        <v/>
      </c>
      <c r="L33" s="82" t="inlineStr">
        <is>
          <t>1.92x</t>
        </is>
      </c>
      <c r="M33" s="67" t="inlineStr">
        <is>
          <t>no change - hold current position</t>
        </is>
      </c>
      <c r="N33" s="85" t="inlineStr">
        <is>
          <t>1.93x</t>
        </is>
      </c>
      <c r="O33" s="122" t="n">
        <v>0.89</v>
      </c>
      <c r="P33" s="83" t="n">
        <v>0.44</v>
      </c>
      <c r="Q33" s="83" t="n">
        <v>0.91</v>
      </c>
      <c r="R33" s="83" t="n">
        <v>0.28</v>
      </c>
      <c r="S33" s="67" t="n">
        <v>110</v>
      </c>
      <c r="T33" s="67" t="inlineStr">
        <is>
          <t>above</t>
        </is>
      </c>
      <c r="U33" s="86" t="inlineStr">
        <is>
          <t>No</t>
        </is>
      </c>
      <c r="V33" s="123">
        <f>IF(OR(B33="",B32=""),"",B33/B32-1)</f>
        <v/>
      </c>
      <c r="W33" s="79">
        <f>IF(B33="","",B33/$B$3-1)</f>
        <v/>
      </c>
      <c r="X33" s="78">
        <f>IF(B33="","",MAX($B$3:B33))</f>
        <v/>
      </c>
      <c r="Y33" s="79">
        <f>IF(OR(B33="",X33=""),"",B33/X33-1)</f>
        <v/>
      </c>
      <c r="Z33" s="78">
        <f>IF(D33="","",$B$3*D33/$D$3)</f>
        <v/>
      </c>
      <c r="AA33" s="79">
        <f>IF(D33="","",D33/$D$3-1)</f>
        <v/>
      </c>
      <c r="AB33" s="79">
        <f>IF(OR(W33="",AA33=""),"",W33-AA33)</f>
        <v/>
      </c>
      <c r="AC33" s="124" t="n"/>
      <c r="AD33" s="125" t="n"/>
      <c r="AE33" s="78">
        <f>IF(AD33="","",AC33*AD33)</f>
        <v/>
      </c>
      <c r="AF33" s="79">
        <f>IF(OR(AE33="",B33="",B33=0),"",AE33/B33)</f>
        <v/>
      </c>
      <c r="AG33" s="125" t="n">
        <v>-0.59</v>
      </c>
      <c r="AH33" s="126" t="n"/>
      <c r="AI33" s="126" t="n"/>
      <c r="AJ33" s="126" t="n"/>
    </row>
    <row r="34" ht="15.75" customHeight="1" s="68">
      <c r="A34" s="117" t="n">
        <v>46281</v>
      </c>
      <c r="B34" s="118">
        <f>IF(AND(E34="",I34="",AE34="",AG34=""),"",SUM(E34,I34,AE34,AG34))</f>
        <v/>
      </c>
      <c r="C34" s="119" t="n">
        <v>79.076368664</v>
      </c>
      <c r="D34" s="84" t="n">
        <v>704.72</v>
      </c>
      <c r="E34" s="84">
        <f>IF(D34="","",D34*C34)</f>
        <v/>
      </c>
      <c r="F34" s="120">
        <f>IF(B34="","",E34/B34)</f>
        <v/>
      </c>
      <c r="G34" s="119" t="n">
        <v>682.0724693769999</v>
      </c>
      <c r="H34" s="84" t="n">
        <v>67.93000000000001</v>
      </c>
      <c r="I34" s="84">
        <f>IF(H34="","",H34*G34)</f>
        <v/>
      </c>
      <c r="J34" s="120">
        <f>IF(B34="","",I34/B34)</f>
        <v/>
      </c>
      <c r="K34" s="121">
        <f>IF(B34="","",F34+J34*3)</f>
        <v/>
      </c>
      <c r="L34" s="82" t="inlineStr">
        <is>
          <t>1.92x</t>
        </is>
      </c>
      <c r="M34" s="67" t="inlineStr">
        <is>
          <t>no change - hold current position</t>
        </is>
      </c>
      <c r="N34" s="85" t="inlineStr">
        <is>
          <t>1.90x</t>
        </is>
      </c>
      <c r="O34" s="122" t="n">
        <v>0.89</v>
      </c>
      <c r="P34" s="83" t="n">
        <v>0.5</v>
      </c>
      <c r="Q34" s="83" t="n">
        <v>0.91</v>
      </c>
      <c r="R34" s="83" t="n">
        <v>0.28</v>
      </c>
      <c r="S34" s="67" t="n">
        <v>111</v>
      </c>
      <c r="T34" s="67" t="inlineStr">
        <is>
          <t>above</t>
        </is>
      </c>
      <c r="U34" s="86" t="inlineStr">
        <is>
          <t>No</t>
        </is>
      </c>
      <c r="V34" s="123">
        <f>IF(OR(B34="",B33=""),"",B34/B33-1)</f>
        <v/>
      </c>
      <c r="W34" s="79">
        <f>IF(B34="","",B34/$B$3-1)</f>
        <v/>
      </c>
      <c r="X34" s="78">
        <f>IF(B34="","",MAX($B$3:B34))</f>
        <v/>
      </c>
      <c r="Y34" s="79">
        <f>IF(OR(B34="",X34=""),"",B34/X34-1)</f>
        <v/>
      </c>
      <c r="Z34" s="78">
        <f>IF(D34="","",$B$3*D34/$D$3)</f>
        <v/>
      </c>
      <c r="AA34" s="79">
        <f>IF(D34="","",D34/$D$3-1)</f>
        <v/>
      </c>
      <c r="AB34" s="79">
        <f>IF(OR(W34="",AA34=""),"",W34-AA34)</f>
        <v/>
      </c>
      <c r="AC34" s="124" t="n"/>
      <c r="AD34" s="125" t="n"/>
      <c r="AE34" s="78">
        <f>IF(AD34="","",AC34*AD34)</f>
        <v/>
      </c>
      <c r="AF34" s="79">
        <f>IF(OR(AE34="",B34="",B34=0),"",AE34/B34)</f>
        <v/>
      </c>
      <c r="AG34" s="125" t="n">
        <v>-0.59</v>
      </c>
      <c r="AH34" s="126" t="n"/>
      <c r="AI34" s="126" t="n"/>
      <c r="AJ34" s="126" t="n"/>
    </row>
    <row r="35" ht="15.75" customHeight="1" s="68">
      <c r="A35" s="117" t="n">
        <v>46282</v>
      </c>
      <c r="B35" s="118">
        <f>IF(AND(E35="",I35="",AE35="",AG35=""),"",SUM(E35,I35,AE35,AG35))</f>
        <v/>
      </c>
      <c r="C35" s="119" t="n">
        <v>63.171765838</v>
      </c>
      <c r="D35" s="84" t="n">
        <v>716.92</v>
      </c>
      <c r="E35" s="84">
        <f>IF(D35="","",D35*C35)</f>
        <v/>
      </c>
      <c r="F35" s="120">
        <f>IF(B35="","",E35/B35)</f>
        <v/>
      </c>
      <c r="G35" s="127" t="n">
        <v>842.760588188</v>
      </c>
      <c r="H35" s="84" t="n">
        <v>71.38</v>
      </c>
      <c r="I35" s="84">
        <f>IF(H35="","",H35*G35)</f>
        <v/>
      </c>
      <c r="J35" s="120">
        <f>IF(B35="","",I35/B35)</f>
        <v/>
      </c>
      <c r="K35" s="121">
        <f>IF(B35="","",F35+J35*3)</f>
        <v/>
      </c>
      <c r="L35" s="82" t="inlineStr">
        <is>
          <t>2.13x</t>
        </is>
      </c>
      <c r="M35" s="67" t="inlineStr">
        <is>
          <t>REBALANCE — 54.04% QQQ / 45.96% TQQQ → 43.29% QQQ / 56.71% TQQQ</t>
        </is>
      </c>
      <c r="N35" s="85" t="inlineStr">
        <is>
          <t>2.13x</t>
        </is>
      </c>
      <c r="O35" s="122" t="n">
        <v>0.89</v>
      </c>
      <c r="P35" s="83" t="n">
        <v>0.5</v>
      </c>
      <c r="Q35" s="83" t="n">
        <v>0.91</v>
      </c>
      <c r="R35" s="83" t="n">
        <v>0.28</v>
      </c>
      <c r="S35" s="67" t="n">
        <v>112</v>
      </c>
      <c r="T35" s="67" t="inlineStr">
        <is>
          <t>above</t>
        </is>
      </c>
      <c r="U35" s="86" t="inlineStr">
        <is>
          <t>No</t>
        </is>
      </c>
      <c r="V35" s="123">
        <f>IF(OR(B35="",B34=""),"",B35/B34-1)</f>
        <v/>
      </c>
      <c r="W35" s="79">
        <f>IF(B35="","",B35/$B$3-1)</f>
        <v/>
      </c>
      <c r="X35" s="78">
        <f>IF(B35="","",MAX($B$3:B35))</f>
        <v/>
      </c>
      <c r="Y35" s="79">
        <f>IF(OR(B35="",X35=""),"",B35/X35-1)</f>
        <v/>
      </c>
      <c r="Z35" s="78">
        <f>IF(D35="","",$B$3*D35/$D$3)</f>
        <v/>
      </c>
      <c r="AA35" s="79">
        <f>IF(D35="","",D35/$D$3-1)</f>
        <v/>
      </c>
      <c r="AB35" s="79">
        <f>IF(OR(W35="",AA35=""),"",W35-AA35)</f>
        <v/>
      </c>
      <c r="AC35" s="124" t="n"/>
      <c r="AD35" s="125" t="n"/>
      <c r="AE35" s="78">
        <f>IF(AD35="","",AC35*AD35)</f>
        <v/>
      </c>
      <c r="AF35" s="79">
        <f>IF(OR(AE35="",B35="",B35=0),"",AE35/B35)</f>
        <v/>
      </c>
      <c r="AG35" s="125" t="n">
        <v>0</v>
      </c>
      <c r="AH35" s="126" t="inlineStr">
        <is>
          <t>Y</t>
        </is>
      </c>
      <c r="AI35" s="126" t="n"/>
      <c r="AJ35" s="126" t="n"/>
    </row>
    <row r="36" ht="15.75" customHeight="1" s="68">
      <c r="A36" s="117" t="n">
        <v>46283</v>
      </c>
      <c r="B36" s="118">
        <f>IF(AND(E36="",I36="",AE36="",AG36=""),"",SUM(E36,I36,AE36,AG36))</f>
        <v/>
      </c>
      <c r="C36" s="119" t="n">
        <v>80.918218258</v>
      </c>
      <c r="D36" s="84" t="n">
        <v>721.45</v>
      </c>
      <c r="E36" s="84">
        <f>IF(D36="","",D36*C36)</f>
        <v/>
      </c>
      <c r="F36" s="120">
        <f>IF(B36="","",E36/B36)</f>
        <v/>
      </c>
      <c r="G36" s="127" t="n">
        <v>665.394765052</v>
      </c>
      <c r="H36" s="84" t="n">
        <v>72.64</v>
      </c>
      <c r="I36" s="84">
        <f>IF(H36="","",H36*G36)</f>
        <v/>
      </c>
      <c r="J36" s="120">
        <f>IF(B36="","",I36/B36)</f>
        <v/>
      </c>
      <c r="K36" s="121">
        <f>IF(B36="","",F36+J36*3)</f>
        <v/>
      </c>
      <c r="L36" s="82" t="inlineStr">
        <is>
          <t>1.90x</t>
        </is>
      </c>
      <c r="M36" s="67" t="inlineStr">
        <is>
          <t>REBALANCE —  43.29% QQQ / 56.71% TQQQ → 55.20% QQQ / 44.80% TQQQ</t>
        </is>
      </c>
      <c r="N36" s="85" t="inlineStr">
        <is>
          <t>1.90x</t>
        </is>
      </c>
      <c r="O36" s="122" t="n">
        <v>0.89</v>
      </c>
      <c r="P36" s="83" t="n">
        <v>0.46</v>
      </c>
      <c r="Q36" s="83" t="n">
        <v>0.91</v>
      </c>
      <c r="R36" s="83" t="n">
        <v>0.28</v>
      </c>
      <c r="S36" s="67" t="n">
        <v>113</v>
      </c>
      <c r="T36" s="67" t="inlineStr">
        <is>
          <t>above</t>
        </is>
      </c>
      <c r="U36" s="86" t="inlineStr">
        <is>
          <t>No</t>
        </is>
      </c>
      <c r="V36" s="123">
        <f>IF(OR(B36="",B35=""),"",B36/B35-1)</f>
        <v/>
      </c>
      <c r="W36" s="79">
        <f>IF(B36="","",B36/$B$3-1)</f>
        <v/>
      </c>
      <c r="X36" s="78">
        <f>IF(B36="","",MAX($B$3:B36))</f>
        <v/>
      </c>
      <c r="Y36" s="79">
        <f>IF(OR(B36="",X36=""),"",B36/X36-1)</f>
        <v/>
      </c>
      <c r="Z36" s="78">
        <f>IF(D36="","",$B$3*D36/$D$3)</f>
        <v/>
      </c>
      <c r="AA36" s="79">
        <f>IF(D36="","",D36/$D$3-1)</f>
        <v/>
      </c>
      <c r="AB36" s="79">
        <f>IF(OR(W36="",AA36=""),"",W36-AA36)</f>
        <v/>
      </c>
      <c r="AC36" s="124" t="n"/>
      <c r="AD36" s="125" t="n"/>
      <c r="AE36" s="78">
        <f>IF(AD36="","",AC36*AD36)</f>
        <v/>
      </c>
      <c r="AF36" s="79">
        <f>IF(OR(AE36="",B36="",B36=0),"",AE36/B36)</f>
        <v/>
      </c>
      <c r="AG36" s="125" t="n">
        <v>0</v>
      </c>
      <c r="AH36" s="126" t="inlineStr">
        <is>
          <t>Y</t>
        </is>
      </c>
      <c r="AI36" s="126" t="n"/>
      <c r="AJ36" s="126" t="n"/>
    </row>
    <row r="37" ht="15.75" customHeight="1" s="68">
      <c r="A37" s="117" t="n">
        <v>46286</v>
      </c>
      <c r="B37" s="118">
        <f>IF(AND(E37="",I37="",AE37="",AG37=""),"",SUM(E37,I37,AE37,AG37))</f>
        <v/>
      </c>
      <c r="C37" s="119" t="n">
        <v>80.918218258</v>
      </c>
      <c r="D37" s="84" t="n">
        <v>741.47</v>
      </c>
      <c r="E37" s="84">
        <f>IF(D37="","",D37*C37)</f>
        <v/>
      </c>
      <c r="F37" s="120">
        <f>IF(B37="","",E37/B37)</f>
        <v/>
      </c>
      <c r="G37" s="127" t="n">
        <v>665.394765052</v>
      </c>
      <c r="H37" s="84" t="n">
        <v>78.91</v>
      </c>
      <c r="I37" s="84">
        <f>IF(H37="","",H37*G37)</f>
        <v/>
      </c>
      <c r="J37" s="120">
        <f>IF(B37="","",I37/B37)</f>
        <v/>
      </c>
      <c r="K37" s="121">
        <f>IF(B37="","",F37+J37*3)</f>
        <v/>
      </c>
      <c r="L37" s="82" t="inlineStr">
        <is>
          <t>1.90x</t>
        </is>
      </c>
      <c r="M37" s="67" t="inlineStr">
        <is>
          <t>no change - hold current position</t>
        </is>
      </c>
      <c r="N37" s="85" t="inlineStr">
        <is>
          <t>1.90x</t>
        </is>
      </c>
      <c r="O37" s="122" t="n">
        <v>0.89</v>
      </c>
      <c r="P37" s="83" t="n">
        <v>0.49</v>
      </c>
      <c r="Q37" s="83" t="n">
        <v>0.91</v>
      </c>
      <c r="R37" s="83" t="n">
        <v>0.28</v>
      </c>
      <c r="S37" s="67" t="n">
        <v>114</v>
      </c>
      <c r="T37" s="67" t="inlineStr">
        <is>
          <t>above</t>
        </is>
      </c>
      <c r="U37" s="86" t="inlineStr">
        <is>
          <t>No</t>
        </is>
      </c>
      <c r="V37" s="123">
        <f>IF(OR(B37="",B36=""),"",B37/B36-1)</f>
        <v/>
      </c>
      <c r="W37" s="79">
        <f>IF(B37="","",B37/$B$3-1)</f>
        <v/>
      </c>
      <c r="X37" s="78">
        <f>IF(B37="","",MAX($B$3:B37))</f>
        <v/>
      </c>
      <c r="Y37" s="79">
        <f>IF(OR(B37="",X37=""),"",B37/X37-1)</f>
        <v/>
      </c>
      <c r="Z37" s="78">
        <f>IF(D37="","",$B$3*D37/$D$3)</f>
        <v/>
      </c>
      <c r="AA37" s="79">
        <f>IF(D37="","",D37/$D$3-1)</f>
        <v/>
      </c>
      <c r="AB37" s="79">
        <f>IF(OR(W37="",AA37=""),"",W37-AA37)</f>
        <v/>
      </c>
      <c r="AC37" s="124" t="n"/>
      <c r="AD37" s="125" t="n"/>
      <c r="AE37" s="78">
        <f>IF(AD37="","",AC37*AD37)</f>
        <v/>
      </c>
      <c r="AF37" s="79">
        <f>IF(OR(AE37="",B37="",B37=0),"",AE37/B37)</f>
        <v/>
      </c>
      <c r="AG37" s="125" t="n">
        <v>0</v>
      </c>
      <c r="AH37" s="126" t="n"/>
      <c r="AI37" s="126" t="n"/>
      <c r="AJ37" s="126" t="n"/>
    </row>
    <row r="38" ht="15.75" customHeight="1" s="68">
      <c r="A38" s="117" t="n">
        <v>46287</v>
      </c>
      <c r="B38" s="118">
        <f>IF(AND(E38="",I38="",AE38="",AG38=""),"",SUM(E38,I38,AE38,AG38))</f>
        <v/>
      </c>
      <c r="C38" s="119" t="n">
        <v>112.087402913</v>
      </c>
      <c r="D38" s="84" t="n">
        <v>747.46</v>
      </c>
      <c r="E38" s="84">
        <f>IF(D38="","",D38*C38)</f>
        <v/>
      </c>
      <c r="F38" s="120">
        <f>IF(B38="","",E38/B38)</f>
        <v/>
      </c>
      <c r="G38" s="127" t="n">
        <v>374.584005083</v>
      </c>
      <c r="H38" s="84" t="n">
        <v>80.83</v>
      </c>
      <c r="I38" s="84">
        <f>IF(H38="","",H38*G38)</f>
        <v/>
      </c>
      <c r="J38" s="120">
        <f>IF(B38="","",I38/B38)</f>
        <v/>
      </c>
      <c r="K38" s="121">
        <f>IF(B38="","",F38+J38*3)</f>
        <v/>
      </c>
      <c r="L38" s="82" t="inlineStr">
        <is>
          <t>1.52x</t>
        </is>
      </c>
      <c r="M38" s="67" t="inlineStr">
        <is>
          <t>REBALANCE —  55.20% QQQ / 44.80% TQQQ → 73.85% QQQ / 26.15% TQQQ</t>
        </is>
      </c>
      <c r="N38" s="85" t="inlineStr">
        <is>
          <t>1.52x</t>
        </is>
      </c>
      <c r="O38" s="122" t="n">
        <v>0.89</v>
      </c>
      <c r="P38" s="83" t="n">
        <v>0.45</v>
      </c>
      <c r="Q38" s="83" t="n">
        <v>0.91</v>
      </c>
      <c r="R38" s="83" t="n">
        <v>0.28</v>
      </c>
      <c r="S38" s="67" t="n">
        <v>115</v>
      </c>
      <c r="T38" s="67" t="inlineStr">
        <is>
          <t>above</t>
        </is>
      </c>
      <c r="U38" s="86" t="inlineStr">
        <is>
          <t>No</t>
        </is>
      </c>
      <c r="V38" s="123">
        <f>IF(OR(B38="",B37=""),"",B38/B37-1)</f>
        <v/>
      </c>
      <c r="W38" s="79">
        <f>IF(B38="","",B38/$B$3-1)</f>
        <v/>
      </c>
      <c r="X38" s="78">
        <f>IF(B38="","",MAX($B$3:B38))</f>
        <v/>
      </c>
      <c r="Y38" s="79">
        <f>IF(OR(B38="",X38=""),"",B38/X38-1)</f>
        <v/>
      </c>
      <c r="Z38" s="78">
        <f>IF(D38="","",$B$3*D38/$D$3)</f>
        <v/>
      </c>
      <c r="AA38" s="79">
        <f>IF(D38="","",D38/$D$3-1)</f>
        <v/>
      </c>
      <c r="AB38" s="79">
        <f>IF(OR(W38="",AA38=""),"",W38-AA38)</f>
        <v/>
      </c>
      <c r="AC38" s="124" t="n"/>
      <c r="AD38" s="125" t="n"/>
      <c r="AE38" s="78">
        <f>IF(AD38="","",AC38*AD38)</f>
        <v/>
      </c>
      <c r="AF38" s="79">
        <f>IF(OR(AE38="",B38="",B38=0),"",AE38/B38)</f>
        <v/>
      </c>
      <c r="AG38" s="125" t="n">
        <v>0</v>
      </c>
      <c r="AH38" s="126" t="inlineStr">
        <is>
          <t>Y</t>
        </is>
      </c>
      <c r="AI38" s="126" t="n"/>
      <c r="AJ38" s="126" t="n"/>
    </row>
    <row r="39" ht="15.75" customHeight="1" s="68">
      <c r="A39" s="117" t="n">
        <v>46288</v>
      </c>
      <c r="B39" s="118">
        <f>IF(AND(E39="",I39="",AE39="",AG39=""),"",SUM(E39,I39,AE39,AG39))</f>
        <v/>
      </c>
      <c r="C39" s="119" t="n">
        <v>112.087402913</v>
      </c>
      <c r="D39" s="84" t="n">
        <v>741.21</v>
      </c>
      <c r="E39" s="84">
        <f>IF(D39="","",D39*C39)</f>
        <v/>
      </c>
      <c r="F39" s="120">
        <f>IF(B39="","",E39/B39)</f>
        <v/>
      </c>
      <c r="G39" s="127" t="n">
        <v>374.584005083</v>
      </c>
      <c r="H39" s="84" t="n">
        <v>78.66</v>
      </c>
      <c r="I39" s="84">
        <f>IF(H39="","",H39*G39)</f>
        <v/>
      </c>
      <c r="J39" s="120">
        <f>IF(B39="","",I39/B39)</f>
        <v/>
      </c>
      <c r="K39" s="121">
        <f>IF(B39="","",F39+J39*3)</f>
        <v/>
      </c>
      <c r="L39" s="82" t="inlineStr">
        <is>
          <t>1.52x</t>
        </is>
      </c>
      <c r="M39" s="67" t="inlineStr">
        <is>
          <t>no change - hold current position</t>
        </is>
      </c>
      <c r="N39" s="85" t="inlineStr">
        <is>
          <t>1.53x</t>
        </is>
      </c>
      <c r="O39" s="122" t="n">
        <v>0.89</v>
      </c>
      <c r="P39" s="83" t="n">
        <v>0.42</v>
      </c>
      <c r="Q39" s="83" t="n">
        <v>0.91</v>
      </c>
      <c r="R39" s="83" t="n">
        <v>0.28</v>
      </c>
      <c r="S39" s="67" t="n">
        <v>116</v>
      </c>
      <c r="T39" s="67" t="inlineStr">
        <is>
          <t>above</t>
        </is>
      </c>
      <c r="U39" s="86" t="inlineStr">
        <is>
          <t>No</t>
        </is>
      </c>
      <c r="V39" s="123">
        <f>IF(OR(B39="",B38=""),"",B39/B38-1)</f>
        <v/>
      </c>
      <c r="W39" s="79">
        <f>IF(B39="","",B39/$B$3-1)</f>
        <v/>
      </c>
      <c r="X39" s="78">
        <f>IF(B39="","",MAX($B$3:B39))</f>
        <v/>
      </c>
      <c r="Y39" s="79">
        <f>IF(OR(B39="",X39=""),"",B39/X39-1)</f>
        <v/>
      </c>
      <c r="Z39" s="78">
        <f>IF(D39="","",$B$3*D39/$D$3)</f>
        <v/>
      </c>
      <c r="AA39" s="79">
        <f>IF(D39="","",D39/$D$3-1)</f>
        <v/>
      </c>
      <c r="AB39" s="79">
        <f>IF(OR(W39="",AA39=""),"",W39-AA39)</f>
        <v/>
      </c>
      <c r="AC39" s="124" t="n"/>
      <c r="AD39" s="125" t="n"/>
      <c r="AE39" s="78">
        <f>IF(AD39="","",AC39*AD39)</f>
        <v/>
      </c>
      <c r="AF39" s="79">
        <f>IF(OR(AE39="",B39="",B39=0),"",AE39/B39)</f>
        <v/>
      </c>
      <c r="AG39" s="125" t="n">
        <v>0</v>
      </c>
      <c r="AH39" s="126" t="n"/>
      <c r="AI39" s="126" t="n"/>
      <c r="AJ39" s="126" t="n"/>
    </row>
    <row r="40" ht="15.75" customHeight="1" s="68">
      <c r="A40" s="117" t="n">
        <v>46289</v>
      </c>
      <c r="B40" s="118">
        <f>IF(AND(E40="",I40="",AE40="",AG40=""),"",SUM(E40,I40,AE40,AG40))</f>
        <v/>
      </c>
      <c r="C40" s="119" t="n">
        <v>112.087402913</v>
      </c>
      <c r="D40" s="84" t="n">
        <v>741.1</v>
      </c>
      <c r="E40" s="84">
        <f>IF(D40="","",D40*C40)</f>
        <v/>
      </c>
      <c r="F40" s="120">
        <f>IF(B40="","",E40/B40)</f>
        <v/>
      </c>
      <c r="G40" s="127" t="n">
        <v>374.584005083</v>
      </c>
      <c r="H40" s="84" t="n">
        <v>78.58</v>
      </c>
      <c r="I40" s="84">
        <f>IF(H40="","",H40*G40)</f>
        <v/>
      </c>
      <c r="J40" s="120">
        <f>IF(B40="","",I40/B40)</f>
        <v/>
      </c>
      <c r="K40" s="121">
        <f>IF(B40="","",F40+J40*3)</f>
        <v/>
      </c>
      <c r="L40" s="82" t="inlineStr">
        <is>
          <t>1.52x</t>
        </is>
      </c>
      <c r="M40" s="67" t="inlineStr">
        <is>
          <t>no change - hold current position</t>
        </is>
      </c>
      <c r="N40" s="85" t="inlineStr">
        <is>
          <t>1.52x</t>
        </is>
      </c>
      <c r="O40" s="122" t="n">
        <v>0.89</v>
      </c>
      <c r="P40" s="83" t="n">
        <v>0.43</v>
      </c>
      <c r="Q40" s="83" t="n">
        <v>0.91</v>
      </c>
      <c r="R40" s="83" t="n">
        <v>0.28</v>
      </c>
      <c r="S40" s="67" t="n">
        <v>117</v>
      </c>
      <c r="T40" s="67" t="inlineStr">
        <is>
          <t>above</t>
        </is>
      </c>
      <c r="U40" s="86" t="inlineStr">
        <is>
          <t>No</t>
        </is>
      </c>
      <c r="V40" s="123">
        <f>IF(OR(B40="",B39=""),"",B40/B39-1)</f>
        <v/>
      </c>
      <c r="W40" s="79">
        <f>IF(B40="","",B40/$B$3-1)</f>
        <v/>
      </c>
      <c r="X40" s="78">
        <f>IF(B40="","",MAX($B$3:B40))</f>
        <v/>
      </c>
      <c r="Y40" s="79">
        <f>IF(OR(B40="",X40=""),"",B40/X40-1)</f>
        <v/>
      </c>
      <c r="Z40" s="78">
        <f>IF(D40="","",$B$3*D40/$D$3)</f>
        <v/>
      </c>
      <c r="AA40" s="79">
        <f>IF(D40="","",D40/$D$3-1)</f>
        <v/>
      </c>
      <c r="AB40" s="79">
        <f>IF(OR(W40="",AA40=""),"",W40-AA40)</f>
        <v/>
      </c>
      <c r="AC40" s="124" t="n"/>
      <c r="AD40" s="125" t="n"/>
      <c r="AE40" s="78">
        <f>IF(AD40="","",AC40*AD40)</f>
        <v/>
      </c>
      <c r="AF40" s="79">
        <f>IF(OR(AE40="",B40="",B40=0),"",AE40/B40)</f>
        <v/>
      </c>
      <c r="AG40" s="125" t="n">
        <v>0</v>
      </c>
      <c r="AH40" s="126" t="n"/>
      <c r="AI40" s="126" t="n"/>
      <c r="AJ40" s="126" t="n"/>
    </row>
    <row r="41" ht="15.75" customHeight="1" s="68">
      <c r="A41" s="117" t="n">
        <v>46290</v>
      </c>
      <c r="B41" s="118">
        <f>IF(AND(E41="",I41="",AE41="",AG41=""),"",SUM(E41,I41,AE41,AG41))</f>
        <v/>
      </c>
      <c r="C41" s="119" t="n">
        <v>112.087402913</v>
      </c>
      <c r="D41" s="84" t="n">
        <v>744.5</v>
      </c>
      <c r="E41" s="84">
        <f>IF(D41="","",D41*C41)</f>
        <v/>
      </c>
      <c r="F41" s="120">
        <f>IF(B41="","",E41/B41)</f>
        <v/>
      </c>
      <c r="G41" s="127" t="n">
        <v>374.584005083</v>
      </c>
      <c r="H41" s="84" t="n">
        <v>79.59999999999999</v>
      </c>
      <c r="I41" s="84">
        <f>IF(H41="","",H41*G41)</f>
        <v/>
      </c>
      <c r="J41" s="120">
        <f>IF(B41="","",I41/B41)</f>
        <v/>
      </c>
      <c r="K41" s="121">
        <f>IF(B41="","",F41+J41*3)</f>
        <v/>
      </c>
      <c r="L41" s="82" t="inlineStr">
        <is>
          <t>1.52x</t>
        </is>
      </c>
      <c r="M41" s="67" t="inlineStr">
        <is>
          <t>no change - hold current position</t>
        </is>
      </c>
      <c r="N41" s="85" t="inlineStr">
        <is>
          <t>1.52x</t>
        </is>
      </c>
      <c r="O41" s="122" t="n">
        <v>0.89</v>
      </c>
      <c r="P41" s="83" t="n">
        <v>0.47</v>
      </c>
      <c r="Q41" s="83" t="n">
        <v>0.91</v>
      </c>
      <c r="R41" s="83" t="n">
        <v>0.28</v>
      </c>
      <c r="S41" s="67" t="n">
        <v>118</v>
      </c>
      <c r="T41" s="67" t="inlineStr">
        <is>
          <t>above</t>
        </is>
      </c>
      <c r="U41" s="86" t="inlineStr">
        <is>
          <t>No</t>
        </is>
      </c>
      <c r="V41" s="123">
        <f>IF(OR(B41="",B40=""),"",B41/B40-1)</f>
        <v/>
      </c>
      <c r="W41" s="79">
        <f>IF(B41="","",B41/$B$3-1)</f>
        <v/>
      </c>
      <c r="X41" s="78">
        <f>IF(B41="","",MAX($B$3:B41))</f>
        <v/>
      </c>
      <c r="Y41" s="79">
        <f>IF(OR(B41="",X41=""),"",B41/X41-1)</f>
        <v/>
      </c>
      <c r="Z41" s="78">
        <f>IF(D41="","",$B$3*D41/$D$3)</f>
        <v/>
      </c>
      <c r="AA41" s="79">
        <f>IF(D41="","",D41/$D$3-1)</f>
        <v/>
      </c>
      <c r="AB41" s="79">
        <f>IF(OR(W41="",AA41=""),"",W41-AA41)</f>
        <v/>
      </c>
      <c r="AC41" s="124" t="n"/>
      <c r="AD41" s="125" t="n"/>
      <c r="AE41" s="78">
        <f>IF(AD41="","",AC41*AD41)</f>
        <v/>
      </c>
      <c r="AF41" s="79">
        <f>IF(OR(AE41="",B41="",B41=0),"",AE41/B41)</f>
        <v/>
      </c>
      <c r="AG41" s="125" t="n">
        <v>0</v>
      </c>
      <c r="AH41" s="126" t="n"/>
      <c r="AI41" s="126" t="n"/>
      <c r="AJ41" s="126" t="n"/>
    </row>
    <row r="42" ht="15.75" customHeight="1" s="68">
      <c r="A42" s="117" t="n">
        <v>46293</v>
      </c>
      <c r="B42" s="118">
        <f>IF(AND(E42="",I42="",AE42="",AG42=""),"",SUM(E42,I42,AE42,AG42))</f>
        <v/>
      </c>
      <c r="C42" s="119" t="n">
        <v>112.087402913</v>
      </c>
      <c r="D42" s="84" t="n">
        <v>736.53</v>
      </c>
      <c r="E42" s="84">
        <f>IF(D42="","",D42*C42)</f>
        <v/>
      </c>
      <c r="F42" s="120">
        <f>IF(B42="","",E42/B42)</f>
        <v/>
      </c>
      <c r="G42" s="127" t="n">
        <v>374.584005083</v>
      </c>
      <c r="H42" s="84" t="n">
        <v>77.04000000000001</v>
      </c>
      <c r="I42" s="84">
        <f>IF(H42="","",H42*G42)</f>
        <v/>
      </c>
      <c r="J42" s="120">
        <f>IF(B42="","",I42/B42)</f>
        <v/>
      </c>
      <c r="K42" s="121">
        <f>IF(B42="","",F42+J42*3)</f>
        <v/>
      </c>
      <c r="L42" s="82" t="inlineStr">
        <is>
          <t>1.52x</t>
        </is>
      </c>
      <c r="M42" s="67" t="inlineStr">
        <is>
          <t>no change - hold current position</t>
        </is>
      </c>
      <c r="N42" s="85" t="inlineStr">
        <is>
          <t>1.59x</t>
        </is>
      </c>
      <c r="O42" s="122" t="n">
        <v>0.89</v>
      </c>
      <c r="P42" s="83" t="n">
        <v>0.47</v>
      </c>
      <c r="Q42" s="83" t="n">
        <v>0.91</v>
      </c>
      <c r="R42" s="83" t="n">
        <v>0.28</v>
      </c>
      <c r="S42" s="67" t="n">
        <v>119</v>
      </c>
      <c r="T42" s="67" t="inlineStr">
        <is>
          <t>above</t>
        </is>
      </c>
      <c r="U42" s="86" t="inlineStr">
        <is>
          <t>No</t>
        </is>
      </c>
      <c r="V42" s="123">
        <f>IF(OR(B42="",B41=""),"",B42/B41-1)</f>
        <v/>
      </c>
      <c r="W42" s="79">
        <f>IF(B42="","",B42/$B$3-1)</f>
        <v/>
      </c>
      <c r="X42" s="78">
        <f>IF(B42="","",MAX($B$3:B42))</f>
        <v/>
      </c>
      <c r="Y42" s="79">
        <f>IF(OR(B42="",X42=""),"",B42/X42-1)</f>
        <v/>
      </c>
      <c r="Z42" s="78">
        <f>IF(D42="","",$B$3*D42/$D$3)</f>
        <v/>
      </c>
      <c r="AA42" s="79">
        <f>IF(D42="","",D42/$D$3-1)</f>
        <v/>
      </c>
      <c r="AB42" s="79">
        <f>IF(OR(W42="",AA42=""),"",W42-AA42)</f>
        <v/>
      </c>
      <c r="AC42" s="124" t="n"/>
      <c r="AD42" s="125" t="n"/>
      <c r="AE42" s="78">
        <f>IF(AD42="","",AC42*AD42)</f>
        <v/>
      </c>
      <c r="AF42" s="79">
        <f>IF(OR(AE42="",B42="",B42=0),"",AE42/B42)</f>
        <v/>
      </c>
      <c r="AG42" s="125" t="n">
        <v>0</v>
      </c>
      <c r="AH42" s="126" t="n"/>
      <c r="AI42" s="126" t="n"/>
      <c r="AJ42" s="126" t="n"/>
    </row>
    <row r="43" ht="15.75" customHeight="1" s="68">
      <c r="A43" s="117" t="n">
        <v>46294</v>
      </c>
      <c r="B43" s="118">
        <f>IF(AND(E43="",I43="",AE43="",AG43=""),"",SUM(E43,I43,AE43,AG43))</f>
        <v/>
      </c>
      <c r="C43" s="119" t="n">
        <v>112.087402913</v>
      </c>
      <c r="D43" s="84" t="n">
        <v>737.9299999999999</v>
      </c>
      <c r="E43" s="84">
        <f>IF(D43="","",D43*C43)</f>
        <v/>
      </c>
      <c r="F43" s="120">
        <f>IF(B43="","",E43/B43)</f>
        <v/>
      </c>
      <c r="G43" s="127" t="n">
        <v>374.584005083</v>
      </c>
      <c r="H43" s="84" t="n">
        <v>77.45999999999999</v>
      </c>
      <c r="I43" s="84">
        <f>IF(H43="","",H43*G43)</f>
        <v/>
      </c>
      <c r="J43" s="120">
        <f>IF(B43="","",I43/B43)</f>
        <v/>
      </c>
      <c r="K43" s="121">
        <f>IF(B43="","",F43+J43*3)</f>
        <v/>
      </c>
      <c r="L43" s="82" t="inlineStr">
        <is>
          <t>1.52x</t>
        </is>
      </c>
      <c r="M43" s="67" t="inlineStr">
        <is>
          <t>no change - hold current position</t>
        </is>
      </c>
      <c r="N43" s="85" t="inlineStr">
        <is>
          <t>1.56x</t>
        </is>
      </c>
      <c r="O43" s="122" t="n">
        <v>0.89</v>
      </c>
      <c r="P43" s="83" t="n">
        <v>0.52</v>
      </c>
      <c r="Q43" s="83" t="n">
        <v>0.91</v>
      </c>
      <c r="R43" s="83" t="n">
        <v>0.28</v>
      </c>
      <c r="S43" s="67" t="n">
        <v>120</v>
      </c>
      <c r="T43" s="67" t="inlineStr">
        <is>
          <t>above</t>
        </is>
      </c>
      <c r="U43" s="86" t="inlineStr">
        <is>
          <t>No</t>
        </is>
      </c>
      <c r="V43" s="123">
        <f>IF(OR(B43="",B42=""),"",B43/B42-1)</f>
        <v/>
      </c>
      <c r="W43" s="79">
        <f>IF(B43="","",B43/$B$3-1)</f>
        <v/>
      </c>
      <c r="X43" s="78">
        <f>IF(B43="","",MAX($B$3:B43))</f>
        <v/>
      </c>
      <c r="Y43" s="79">
        <f>IF(OR(B43="",X43=""),"",B43/X43-1)</f>
        <v/>
      </c>
      <c r="Z43" s="78">
        <f>IF(D43="","",$B$3*D43/$D$3)</f>
        <v/>
      </c>
      <c r="AA43" s="79">
        <f>IF(D43="","",D43/$D$3-1)</f>
        <v/>
      </c>
      <c r="AB43" s="79">
        <f>IF(OR(W43="",AA43=""),"",W43-AA43)</f>
        <v/>
      </c>
      <c r="AC43" s="124" t="n"/>
      <c r="AD43" s="125" t="n"/>
      <c r="AE43" s="78">
        <f>IF(AD43="","",AC43*AD43)</f>
        <v/>
      </c>
      <c r="AF43" s="79">
        <f>IF(OR(AE43="",B43="",B43=0),"",AE43/B43)</f>
        <v/>
      </c>
      <c r="AG43" s="125" t="n">
        <v>0</v>
      </c>
      <c r="AH43" s="126" t="n"/>
      <c r="AI43" s="126" t="n"/>
      <c r="AJ43" s="126" t="n"/>
    </row>
    <row r="44" ht="15.75" customHeight="1" s="68">
      <c r="A44" s="117" t="n">
        <v>46295</v>
      </c>
      <c r="B44" s="118">
        <f>IF(AND(E44="",I44="",AE44="",AG44=""),"",SUM(E44,I44,AE44,AG44))</f>
        <v/>
      </c>
      <c r="C44" s="119" t="n">
        <v>112.087402913</v>
      </c>
      <c r="D44" s="84" t="n">
        <v>739.77</v>
      </c>
      <c r="E44" s="84">
        <f>IF(D44="","",D44*C44)</f>
        <v/>
      </c>
      <c r="F44" s="120">
        <f>IF(B44="","",E44/B44)</f>
        <v/>
      </c>
      <c r="G44" s="127" t="n">
        <v>374.584005083</v>
      </c>
      <c r="H44" s="84" t="n">
        <v>78.03</v>
      </c>
      <c r="I44" s="84">
        <f>IF(H44="","",H44*G44)</f>
        <v/>
      </c>
      <c r="J44" s="120">
        <f>IF(B44="","",I44/B44)</f>
        <v/>
      </c>
      <c r="K44" s="121">
        <f>IF(B44="","",F44+J44*3)</f>
        <v/>
      </c>
      <c r="L44" s="82" t="inlineStr">
        <is>
          <t>1.52x</t>
        </is>
      </c>
      <c r="M44" s="67" t="inlineStr">
        <is>
          <t>no change - hold current position</t>
        </is>
      </c>
      <c r="N44" s="85" t="inlineStr">
        <is>
          <t>1.56x</t>
        </is>
      </c>
      <c r="O44" s="122" t="n">
        <v>0.89</v>
      </c>
      <c r="P44" s="83" t="n">
        <v>0.52</v>
      </c>
      <c r="Q44" s="83" t="n">
        <v>0.91</v>
      </c>
      <c r="R44" s="83" t="n">
        <v>0.28</v>
      </c>
      <c r="S44" s="67" t="n">
        <v>121</v>
      </c>
      <c r="T44" s="67" t="inlineStr">
        <is>
          <t>above</t>
        </is>
      </c>
      <c r="U44" s="86" t="inlineStr">
        <is>
          <t>No</t>
        </is>
      </c>
      <c r="V44" s="123">
        <f>IF(OR(B44="",B43=""),"",B44/B43-1)</f>
        <v/>
      </c>
      <c r="W44" s="79">
        <f>IF(B44="","",B44/$B$3-1)</f>
        <v/>
      </c>
      <c r="X44" s="78">
        <f>IF(B44="","",MAX($B$3:B44))</f>
        <v/>
      </c>
      <c r="Y44" s="79">
        <f>IF(OR(B44="",X44=""),"",B44/X44-1)</f>
        <v/>
      </c>
      <c r="Z44" s="78">
        <f>IF(D44="","",$B$3*D44/$D$3)</f>
        <v/>
      </c>
      <c r="AA44" s="79">
        <f>IF(D44="","",D44/$D$3-1)</f>
        <v/>
      </c>
      <c r="AB44" s="79">
        <f>IF(OR(W44="",AA44=""),"",W44-AA44)</f>
        <v/>
      </c>
      <c r="AC44" s="124" t="n"/>
      <c r="AD44" s="125" t="n"/>
      <c r="AE44" s="78">
        <f>IF(AD44="","",AC44*AD44)</f>
        <v/>
      </c>
      <c r="AF44" s="79">
        <f>IF(OR(AE44="",B44="",B44=0),"",AE44/B44)</f>
        <v/>
      </c>
      <c r="AG44" s="125" t="n">
        <v>0</v>
      </c>
      <c r="AH44" s="126" t="n"/>
      <c r="AI44" s="126" t="n"/>
      <c r="AJ44" s="126" t="n"/>
    </row>
    <row r="45" ht="15.75" customHeight="1" s="68">
      <c r="A45" s="117" t="n">
        <v>46296</v>
      </c>
      <c r="B45" s="118">
        <f>IF(AND(E45="",I45="",AE45="",AG45=""),"",SUM(E45,I45,AE45,AG45))</f>
        <v/>
      </c>
      <c r="C45" s="119" t="n">
        <v>104.006950258</v>
      </c>
      <c r="D45" s="84" t="n">
        <v>742.03</v>
      </c>
      <c r="E45" s="84">
        <f>IF(D45="","",D45*C45)</f>
        <v/>
      </c>
      <c r="F45" s="120">
        <f>IF(B45="","",E45/B45)</f>
        <v/>
      </c>
      <c r="G45" s="127" t="n">
        <v>450.617228933</v>
      </c>
      <c r="H45" s="84" t="n">
        <v>78.73</v>
      </c>
      <c r="I45" s="84">
        <f>IF(H45="","",H45*G45)</f>
        <v/>
      </c>
      <c r="J45" s="120">
        <f>IF(B45="","",I45/B45)</f>
        <v/>
      </c>
      <c r="K45" s="121">
        <f>IF(B45="","",F45+J45*3)</f>
        <v/>
      </c>
      <c r="L45" s="82" t="inlineStr">
        <is>
          <t>1.63x</t>
        </is>
      </c>
      <c r="M45" s="67" t="inlineStr">
        <is>
          <t>REBALANCE — 73.85% QQQ / 26.15% TQQQ → 68.51% QQQ / 31.49% TQQQ</t>
        </is>
      </c>
      <c r="N45" s="85" t="inlineStr">
        <is>
          <t>1.63x</t>
        </is>
      </c>
      <c r="O45" s="122" t="n">
        <v>0.89</v>
      </c>
      <c r="P45" s="83" t="n">
        <v>0.5600000000000001</v>
      </c>
      <c r="Q45" s="83" t="n">
        <v>0.91</v>
      </c>
      <c r="R45" s="83" t="n">
        <v>0.28</v>
      </c>
      <c r="S45" s="67" t="n">
        <v>122</v>
      </c>
      <c r="T45" s="67" t="inlineStr">
        <is>
          <t>above</t>
        </is>
      </c>
      <c r="U45" s="86" t="inlineStr">
        <is>
          <t>No</t>
        </is>
      </c>
      <c r="V45" s="123">
        <f>IF(OR(B45="",B44=""),"",B45/B44-1)</f>
        <v/>
      </c>
      <c r="W45" s="79">
        <f>IF(B45="","",B45/$B$3-1)</f>
        <v/>
      </c>
      <c r="X45" s="78">
        <f>IF(B45="","",MAX($B$3:B45))</f>
        <v/>
      </c>
      <c r="Y45" s="79">
        <f>IF(OR(B45="",X45=""),"",B45/X45-1)</f>
        <v/>
      </c>
      <c r="Z45" s="78">
        <f>IF(D45="","",$B$3*D45/$D$3)</f>
        <v/>
      </c>
      <c r="AA45" s="79">
        <f>IF(D45="","",D45/$D$3-1)</f>
        <v/>
      </c>
      <c r="AB45" s="79">
        <f>IF(OR(W45="",AA45=""),"",W45-AA45)</f>
        <v/>
      </c>
      <c r="AC45" s="124" t="n"/>
      <c r="AD45" s="125" t="n"/>
      <c r="AE45" s="78">
        <f>IF(AD45="","",AC45*AD45)</f>
        <v/>
      </c>
      <c r="AF45" s="79">
        <f>IF(OR(AE45="",B45="",B45=0),"",AE45/B45)</f>
        <v/>
      </c>
      <c r="AG45" s="125" t="n">
        <v>-0.14</v>
      </c>
      <c r="AH45" s="126" t="inlineStr">
        <is>
          <t>Y</t>
        </is>
      </c>
      <c r="AI45" s="126" t="n"/>
      <c r="AJ45" s="126" t="n"/>
    </row>
    <row r="46" ht="15.75" customHeight="1" s="68">
      <c r="A46" s="117" t="n">
        <v>46297</v>
      </c>
      <c r="B46" s="118">
        <f>IF(AND(E46="",I46="",AE46="",AG46=""),"",SUM(E46,I46,AE46,AG46))</f>
        <v/>
      </c>
      <c r="C46" s="119" t="n">
        <v>104.006950258</v>
      </c>
      <c r="D46" s="84" t="n">
        <v>749.58</v>
      </c>
      <c r="E46" s="84">
        <f>IF(D46="","",D46*C46)</f>
        <v/>
      </c>
      <c r="F46" s="120">
        <f>IF(B46="","",E46/B46)</f>
        <v/>
      </c>
      <c r="G46" s="127" t="n">
        <v>450.617228933</v>
      </c>
      <c r="H46" s="84" t="n">
        <v>81.01000000000001</v>
      </c>
      <c r="I46" s="84">
        <f>IF(H46="","",H46*G46)</f>
        <v/>
      </c>
      <c r="J46" s="120">
        <f>IF(B46="","",I46/B46)</f>
        <v/>
      </c>
      <c r="K46" s="121">
        <f>IF(B46="","",F46+J46*3)</f>
        <v/>
      </c>
      <c r="L46" s="82" t="inlineStr">
        <is>
          <t>1.63x</t>
        </is>
      </c>
      <c r="M46" s="67" t="inlineStr">
        <is>
          <t>no change - hold current position</t>
        </is>
      </c>
      <c r="N46" s="85" t="inlineStr">
        <is>
          <t>1.63x</t>
        </is>
      </c>
      <c r="O46" s="122" t="n">
        <v>0.89</v>
      </c>
      <c r="P46" s="83" t="n">
        <v>0.5600000000000001</v>
      </c>
      <c r="Q46" s="83" t="n">
        <v>0.91</v>
      </c>
      <c r="R46" s="83" t="n">
        <v>0.37</v>
      </c>
      <c r="S46" s="67" t="n">
        <v>123</v>
      </c>
      <c r="T46" s="67" t="inlineStr">
        <is>
          <t>above</t>
        </is>
      </c>
      <c r="U46" s="86" t="inlineStr">
        <is>
          <t>No</t>
        </is>
      </c>
      <c r="V46" s="123">
        <f>IF(OR(B46="",B45=""),"",B46/B45-1)</f>
        <v/>
      </c>
      <c r="W46" s="79">
        <f>IF(B46="","",B46/$B$3-1)</f>
        <v/>
      </c>
      <c r="X46" s="78">
        <f>IF(B46="","",MAX($B$3:B46))</f>
        <v/>
      </c>
      <c r="Y46" s="79">
        <f>IF(OR(B46="",X46=""),"",B46/X46-1)</f>
        <v/>
      </c>
      <c r="Z46" s="78">
        <f>IF(D46="","",$B$3*D46/$D$3)</f>
        <v/>
      </c>
      <c r="AA46" s="79">
        <f>IF(D46="","",D46/$D$3-1)</f>
        <v/>
      </c>
      <c r="AB46" s="79">
        <f>IF(OR(W46="",AA46=""),"",W46-AA46)</f>
        <v/>
      </c>
      <c r="AC46" s="124" t="n"/>
      <c r="AD46" s="125" t="n"/>
      <c r="AE46" s="78">
        <f>IF(AD46="","",AC46*AD46)</f>
        <v/>
      </c>
      <c r="AF46" s="79">
        <f>IF(OR(AE46="",B46="",B46=0),"",AE46/B46)</f>
        <v/>
      </c>
      <c r="AG46" s="125" t="n">
        <v>-0.14</v>
      </c>
      <c r="AH46" s="126" t="n"/>
      <c r="AI46" s="126" t="n"/>
      <c r="AJ46" s="126" t="n"/>
    </row>
    <row r="47" ht="15.75" customHeight="1" s="68">
      <c r="A47" s="117" t="n">
        <v>46300</v>
      </c>
      <c r="B47" s="118">
        <f>IF(AND(E47="",I47="",AE47="",AG47=""),"",SUM(E47,I47,AE47,AG47))</f>
        <v/>
      </c>
      <c r="C47" s="119" t="n">
        <v>104.006950258</v>
      </c>
      <c r="D47" s="84" t="n">
        <v>756.2</v>
      </c>
      <c r="E47" s="84">
        <f>IF(D47="","",D47*C47)</f>
        <v/>
      </c>
      <c r="F47" s="120">
        <f>IF(B47="","",E47/B47)</f>
        <v/>
      </c>
      <c r="G47" s="127" t="n">
        <v>450.617228933</v>
      </c>
      <c r="H47" s="67" t="n">
        <v>83.12</v>
      </c>
      <c r="I47" s="84">
        <f>IF(H47="","",H47*G47)</f>
        <v/>
      </c>
      <c r="J47" s="120">
        <f>IF(B47="","",I47/B47)</f>
        <v/>
      </c>
      <c r="K47" s="121">
        <f>IF(B47="","",F47+J47*3)</f>
        <v/>
      </c>
      <c r="L47" s="82" t="inlineStr">
        <is>
          <t>1.63x</t>
        </is>
      </c>
      <c r="M47" s="67" t="inlineStr">
        <is>
          <t>no change - hold current position</t>
        </is>
      </c>
      <c r="N47" s="85" t="inlineStr">
        <is>
          <t>1.64x</t>
        </is>
      </c>
      <c r="O47" s="122" t="n">
        <v>0.89</v>
      </c>
      <c r="P47" s="83" t="n">
        <v>0.55</v>
      </c>
      <c r="Q47" s="83" t="n">
        <v>0.91</v>
      </c>
      <c r="R47" s="83" t="n">
        <v>0.37</v>
      </c>
      <c r="S47" s="67" t="n">
        <v>124</v>
      </c>
      <c r="T47" s="67" t="inlineStr">
        <is>
          <t>above</t>
        </is>
      </c>
      <c r="U47" s="86" t="inlineStr">
        <is>
          <t>No</t>
        </is>
      </c>
      <c r="V47" s="123">
        <f>IF(OR(B47="",B46=""),"",B47/B46-1)</f>
        <v/>
      </c>
      <c r="W47" s="79">
        <f>IF(B47="","",B47/$B$3-1)</f>
        <v/>
      </c>
      <c r="X47" s="78">
        <f>IF(B47="","",MAX($B$3:B47))</f>
        <v/>
      </c>
      <c r="Y47" s="79">
        <f>IF(OR(B47="",X47=""),"",B47/X47-1)</f>
        <v/>
      </c>
      <c r="Z47" s="78">
        <f>IF(D47="","",$B$3*D47/$D$3)</f>
        <v/>
      </c>
      <c r="AA47" s="79">
        <f>IF(D47="","",D47/$D$3-1)</f>
        <v/>
      </c>
      <c r="AB47" s="79">
        <f>IF(OR(W47="",AA47=""),"",W47-AA47)</f>
        <v/>
      </c>
      <c r="AC47" s="124" t="n"/>
      <c r="AD47" s="125" t="n"/>
      <c r="AE47" s="78">
        <f>IF(AD47="","",AC47*AD47)</f>
        <v/>
      </c>
      <c r="AF47" s="79">
        <f>IF(OR(AE47="",B47="",B47=0),"",AE47/B47)</f>
        <v/>
      </c>
      <c r="AG47" s="125" t="n">
        <v>-0.14</v>
      </c>
      <c r="AH47" s="126" t="n"/>
      <c r="AI47" s="126" t="n"/>
      <c r="AJ47" s="126" t="n"/>
    </row>
    <row r="48" ht="15.75" customHeight="1" s="68">
      <c r="A48" s="117" t="n">
        <v>46301</v>
      </c>
      <c r="B48" s="118">
        <f>IF(AND(E48="",I48="",AE48="",AG48=""),"",SUM(E48,I48,AE48,AG48))</f>
        <v/>
      </c>
      <c r="C48" s="119" t="n">
        <v>104.006950258</v>
      </c>
      <c r="D48" s="84" t="n">
        <v>759.66</v>
      </c>
      <c r="E48" s="84">
        <f>IF(D48="","",D48*C48)</f>
        <v/>
      </c>
      <c r="F48" s="120">
        <f>IF(B48="","",E48/B48)</f>
        <v/>
      </c>
      <c r="G48" s="127" t="n">
        <v>450.617228933</v>
      </c>
      <c r="H48" s="67" t="n">
        <v>84.25</v>
      </c>
      <c r="I48" s="84">
        <f>IF(H48="","",H48*G48)</f>
        <v/>
      </c>
      <c r="J48" s="120">
        <f>IF(B48="","",I48/B48)</f>
        <v/>
      </c>
      <c r="K48" s="121">
        <f>IF(B48="","",F48+J48*3)</f>
        <v/>
      </c>
      <c r="L48" s="67" t="inlineStr">
        <is>
          <t>1.63x</t>
        </is>
      </c>
      <c r="M48" s="67" t="inlineStr">
        <is>
          <t>no change - hold current position</t>
        </is>
      </c>
      <c r="N48" s="67" t="inlineStr">
        <is>
          <t>1.61x</t>
        </is>
      </c>
      <c r="O48" s="122" t="n">
        <v>0.89</v>
      </c>
      <c r="P48" s="83" t="n">
        <v>0.55</v>
      </c>
      <c r="Q48" s="83" t="n">
        <v>0.91</v>
      </c>
      <c r="R48" s="83" t="n">
        <v>0.37</v>
      </c>
      <c r="S48" s="67" t="n">
        <v>125</v>
      </c>
      <c r="T48" s="67" t="inlineStr">
        <is>
          <t>above</t>
        </is>
      </c>
      <c r="U48" s="67" t="inlineStr">
        <is>
          <t>No</t>
        </is>
      </c>
      <c r="V48" s="123">
        <f>IF(OR(B48="",B47=""),"",B48/B47-1)</f>
        <v/>
      </c>
      <c r="W48" s="79">
        <f>IF(B48="","",B48/$B$3-1)</f>
        <v/>
      </c>
      <c r="X48" s="78">
        <f>IF(B48="","",MAX($B$3:B48))</f>
        <v/>
      </c>
      <c r="Y48" s="79">
        <f>IF(OR(B48="",X48=""),"",B48/X48-1)</f>
        <v/>
      </c>
      <c r="Z48" s="78">
        <f>IF(D48="","",$B$3*D48/$D$3)</f>
        <v/>
      </c>
      <c r="AA48" s="79">
        <f>IF(D48="","",D48/$D$3-1)</f>
        <v/>
      </c>
      <c r="AB48" s="79">
        <f>IF(OR(W48="",AA48=""),"",W48-AA48)</f>
        <v/>
      </c>
      <c r="AC48" s="124" t="n"/>
      <c r="AD48" s="125" t="n"/>
      <c r="AE48" s="78">
        <f>IF(AD48="","",AC48*AD48)</f>
        <v/>
      </c>
      <c r="AF48" s="79">
        <f>IF(OR(AE48="",B48="",B48=0),"",AE48/B48)</f>
        <v/>
      </c>
      <c r="AG48" s="125" t="n">
        <v>-0.14</v>
      </c>
      <c r="AH48" s="126" t="n"/>
      <c r="AI48" s="126" t="n"/>
      <c r="AJ48" s="126" t="n"/>
    </row>
    <row r="49" ht="15.75" customHeight="1" s="68">
      <c r="A49" s="117" t="n">
        <v>46302</v>
      </c>
      <c r="B49" s="118">
        <f>IF(AND(E49="",I49="",AE49="",AG49=""),"",SUM(E49,I49,AE49,AG49))</f>
        <v/>
      </c>
      <c r="C49" s="119" t="n">
        <v>104.006950258</v>
      </c>
      <c r="D49" s="84" t="n">
        <v>757.73</v>
      </c>
      <c r="E49" s="84">
        <f>IF(D49="","",D49*C49)</f>
        <v/>
      </c>
      <c r="F49" s="120">
        <f>IF(B49="","",E49/B49)</f>
        <v/>
      </c>
      <c r="G49" s="127" t="n">
        <v>450.617228933</v>
      </c>
      <c r="H49" s="67" t="n">
        <v>83.62</v>
      </c>
      <c r="I49" s="84">
        <f>IF(H49="","",H49*G49)</f>
        <v/>
      </c>
      <c r="J49" s="120">
        <f>IF(B49="","",I49/B49)</f>
        <v/>
      </c>
      <c r="K49" s="121">
        <f>IF(B49="","",F49+J49*3)</f>
        <v/>
      </c>
      <c r="L49" s="67" t="inlineStr">
        <is>
          <t>1.63x</t>
        </is>
      </c>
      <c r="M49" s="67" t="inlineStr">
        <is>
          <t>no change - hold current position</t>
        </is>
      </c>
      <c r="N49" s="67" t="inlineStr">
        <is>
          <t>1.60x</t>
        </is>
      </c>
      <c r="O49" s="122" t="n">
        <v>0.89</v>
      </c>
      <c r="P49" s="83" t="n">
        <v>0.53</v>
      </c>
      <c r="Q49" s="83" t="n">
        <v>0.91</v>
      </c>
      <c r="R49" s="83" t="n">
        <v>0.37</v>
      </c>
      <c r="S49" s="67" t="n">
        <v>126</v>
      </c>
      <c r="T49" s="67" t="inlineStr">
        <is>
          <t>above</t>
        </is>
      </c>
      <c r="U49" s="67" t="inlineStr">
        <is>
          <t>No</t>
        </is>
      </c>
      <c r="V49" s="123">
        <f>IF(OR(B49="",B48=""),"",B49/B48-1)</f>
        <v/>
      </c>
      <c r="W49" s="79">
        <f>IF(B49="","",B49/$B$3-1)</f>
        <v/>
      </c>
      <c r="X49" s="78">
        <f>IF(B49="","",MAX($B$3:B49))</f>
        <v/>
      </c>
      <c r="Y49" s="79">
        <f>IF(OR(B49="",X49=""),"",B49/X49-1)</f>
        <v/>
      </c>
      <c r="Z49" s="78">
        <f>IF(D49="","",$B$3*D49/$D$3)</f>
        <v/>
      </c>
      <c r="AA49" s="79">
        <f>IF(D49="","",D49/$D$3-1)</f>
        <v/>
      </c>
      <c r="AB49" s="79">
        <f>IF(OR(W49="",AA49=""),"",W49-AA49)</f>
        <v/>
      </c>
      <c r="AC49" s="124" t="n"/>
      <c r="AD49" s="125" t="n"/>
      <c r="AE49" s="78">
        <f>IF(AD49="","",AC49*AD49)</f>
        <v/>
      </c>
      <c r="AF49" s="79">
        <f>IF(OR(AE49="",B49="",B49=0),"",AE49/B49)</f>
        <v/>
      </c>
      <c r="AG49" s="125" t="n">
        <v>-0.14</v>
      </c>
      <c r="AH49" s="126" t="n"/>
      <c r="AI49" s="126" t="n"/>
      <c r="AJ49" s="126" t="n"/>
    </row>
    <row r="50" ht="15.75" customHeight="1" s="68">
      <c r="A50" s="117" t="n">
        <v>46303</v>
      </c>
      <c r="B50" s="118">
        <f>IF(AND(E50="",I50="",AE50="",AG50=""),"",SUM(E50,I50,AE50,AG50))</f>
        <v/>
      </c>
      <c r="C50" s="119" t="n">
        <v>104.006950258</v>
      </c>
      <c r="D50" s="84" t="n">
        <v>747.58</v>
      </c>
      <c r="E50" s="84">
        <f>IF(D50="","",D50*C50)</f>
        <v/>
      </c>
      <c r="F50" s="120">
        <f>IF(B50="","",E50/B50)</f>
        <v/>
      </c>
      <c r="G50" s="127" t="n">
        <v>450.617228933</v>
      </c>
      <c r="H50" s="67" t="n">
        <v>80.23</v>
      </c>
      <c r="I50" s="84">
        <f>IF(H50="","",H50*G50)</f>
        <v/>
      </c>
      <c r="J50" s="120">
        <f>IF(B50="","",I50/B50)</f>
        <v/>
      </c>
      <c r="K50" s="121">
        <f>IF(B50="","",F50+J50*3)</f>
        <v/>
      </c>
      <c r="L50" s="67" t="inlineStr">
        <is>
          <t>1.63x</t>
        </is>
      </c>
      <c r="M50" s="67" t="inlineStr">
        <is>
          <t>no change - hold current position</t>
        </is>
      </c>
      <c r="N50" s="67" t="inlineStr">
        <is>
          <t>1.60x</t>
        </is>
      </c>
      <c r="O50" s="122" t="n">
        <v>0.89</v>
      </c>
      <c r="P50" s="83" t="n">
        <v>0.5600000000000001</v>
      </c>
      <c r="Q50" s="83" t="n">
        <v>0.91</v>
      </c>
      <c r="R50" s="83" t="n">
        <v>0.37</v>
      </c>
      <c r="S50" s="67" t="n">
        <v>127</v>
      </c>
      <c r="T50" s="67" t="inlineStr">
        <is>
          <t>above</t>
        </is>
      </c>
      <c r="U50" s="67" t="inlineStr">
        <is>
          <t>No</t>
        </is>
      </c>
      <c r="V50" s="123">
        <f>IF(OR(B50="",B49=""),"",B50/B49-1)</f>
        <v/>
      </c>
      <c r="W50" s="79">
        <f>IF(B50="","",B50/$B$3-1)</f>
        <v/>
      </c>
      <c r="X50" s="78">
        <f>IF(B50="","",MAX($B$3:B50))</f>
        <v/>
      </c>
      <c r="Y50" s="79">
        <f>IF(OR(B50="",X50=""),"",B50/X50-1)</f>
        <v/>
      </c>
      <c r="Z50" s="78">
        <f>IF(D50="","",$B$3*D50/$D$3)</f>
        <v/>
      </c>
      <c r="AA50" s="79">
        <f>IF(D50="","",D50/$D$3-1)</f>
        <v/>
      </c>
      <c r="AB50" s="79">
        <f>IF(OR(W50="",AA50=""),"",W50-AA50)</f>
        <v/>
      </c>
      <c r="AC50" s="124" t="n"/>
      <c r="AD50" s="125" t="n"/>
      <c r="AE50" s="78">
        <f>IF(AD50="","",AC50*AD50)</f>
        <v/>
      </c>
      <c r="AF50" s="79">
        <f>IF(OR(AE50="",B50="",B50=0),"",AE50/B50)</f>
        <v/>
      </c>
      <c r="AG50" s="125" t="n">
        <v>-0.14</v>
      </c>
      <c r="AH50" s="126" t="n"/>
      <c r="AI50" s="126" t="n"/>
      <c r="AJ50" s="126" t="n"/>
    </row>
    <row r="51" ht="15.75" customHeight="1" s="68">
      <c r="A51" s="117" t="n">
        <v>46304</v>
      </c>
      <c r="B51" s="118">
        <f>IF(AND(E51="",I51="",AE51="",AG51=""),"",SUM(E51,I51,AE51,AG51))</f>
        <v/>
      </c>
      <c r="C51" s="119" t="n">
        <v>104.006950258</v>
      </c>
      <c r="D51" s="84" t="n">
        <v>751.27</v>
      </c>
      <c r="E51" s="84">
        <f>IF(D51="","",D51*C51)</f>
        <v/>
      </c>
      <c r="F51" s="120">
        <f>IF(B51="","",E51/B51)</f>
        <v/>
      </c>
      <c r="G51" s="127" t="n">
        <v>450.617228933</v>
      </c>
      <c r="H51" s="67" t="n">
        <v>81.28</v>
      </c>
      <c r="I51" s="84">
        <f>IF(H51="","",H51*G51)</f>
        <v/>
      </c>
      <c r="J51" s="120">
        <f>IF(B51="","",I51/B51)</f>
        <v/>
      </c>
      <c r="K51" s="121">
        <f>IF(B51="","",F51+J51*3)</f>
        <v/>
      </c>
      <c r="L51" s="67" t="inlineStr">
        <is>
          <t>1.63x</t>
        </is>
      </c>
      <c r="M51" s="67" t="inlineStr">
        <is>
          <t>no change - hold current position</t>
        </is>
      </c>
      <c r="N51" s="67" t="inlineStr">
        <is>
          <t>1.57x</t>
        </is>
      </c>
      <c r="O51" s="122" t="n">
        <v>0.89</v>
      </c>
      <c r="P51" s="83" t="n">
        <v>0.59</v>
      </c>
      <c r="Q51" s="83" t="n">
        <v>0.91</v>
      </c>
      <c r="R51" s="83" t="n">
        <v>0.37</v>
      </c>
      <c r="S51" s="67" t="n">
        <v>128</v>
      </c>
      <c r="T51" s="67" t="inlineStr">
        <is>
          <t>above</t>
        </is>
      </c>
      <c r="U51" s="67" t="inlineStr">
        <is>
          <t>No</t>
        </is>
      </c>
      <c r="V51" s="123">
        <f>IF(OR(B51="",B50=""),"",B51/B50-1)</f>
        <v/>
      </c>
      <c r="W51" s="79">
        <f>IF(B51="","",B51/$B$3-1)</f>
        <v/>
      </c>
      <c r="X51" s="78">
        <f>IF(B51="","",MAX($B$3:B51))</f>
        <v/>
      </c>
      <c r="Y51" s="79">
        <f>IF(OR(B51="",X51=""),"",B51/X51-1)</f>
        <v/>
      </c>
      <c r="Z51" s="78">
        <f>IF(D51="","",$B$3*D51/$D$3)</f>
        <v/>
      </c>
      <c r="AA51" s="79">
        <f>IF(D51="","",D51/$D$3-1)</f>
        <v/>
      </c>
      <c r="AB51" s="79">
        <f>IF(OR(W51="",AA51=""),"",W51-AA51)</f>
        <v/>
      </c>
      <c r="AC51" s="124" t="n"/>
      <c r="AD51" s="125" t="n"/>
      <c r="AE51" s="78">
        <f>IF(AD51="","",AC51*AD51)</f>
        <v/>
      </c>
      <c r="AF51" s="79">
        <f>IF(OR(AE51="",B51="",B51=0),"",AE51/B51)</f>
        <v/>
      </c>
      <c r="AG51" s="125" t="n">
        <v>-0.14</v>
      </c>
      <c r="AH51" s="126" t="n"/>
      <c r="AI51" s="126" t="n"/>
      <c r="AJ51" s="126" t="n"/>
    </row>
    <row r="52" ht="15.75" customHeight="1" s="68">
      <c r="A52" s="117" t="n">
        <v>46307</v>
      </c>
      <c r="B52" s="118">
        <f>IF(AND(E52="",I52="",AE52="",AG52=""),"",SUM(E52,I52,AE52,AG52))</f>
        <v/>
      </c>
      <c r="C52" s="119" t="n">
        <v>104.006950258</v>
      </c>
      <c r="D52" s="84" t="n">
        <v>746.04</v>
      </c>
      <c r="E52" s="84">
        <f>IF(D52="","",D52*C52)</f>
        <v/>
      </c>
      <c r="F52" s="120">
        <f>IF(B52="","",E52/B52)</f>
        <v/>
      </c>
      <c r="G52" s="127" t="n">
        <v>450.617228933</v>
      </c>
      <c r="H52" s="67" t="n">
        <v>79.61</v>
      </c>
      <c r="I52" s="84">
        <f>IF(H52="","",H52*G52)</f>
        <v/>
      </c>
      <c r="J52" s="120">
        <f>IF(B52="","",I52/B52)</f>
        <v/>
      </c>
      <c r="K52" s="121">
        <f>IF(B52="","",F52+J52*3)</f>
        <v/>
      </c>
      <c r="L52" s="67" t="inlineStr">
        <is>
          <t>1.63x</t>
        </is>
      </c>
      <c r="M52" s="67" t="inlineStr">
        <is>
          <t>no change - hold current position</t>
        </is>
      </c>
      <c r="N52" s="67" t="inlineStr">
        <is>
          <t>1.60x</t>
        </is>
      </c>
      <c r="O52" s="122" t="n">
        <v>0.89</v>
      </c>
      <c r="P52" s="83" t="n">
        <v>0.53</v>
      </c>
      <c r="Q52" s="83" t="n">
        <v>0.91</v>
      </c>
      <c r="R52" s="83" t="n">
        <v>0.37</v>
      </c>
      <c r="S52" s="67" t="n">
        <v>129</v>
      </c>
      <c r="T52" s="67" t="inlineStr">
        <is>
          <t>above</t>
        </is>
      </c>
      <c r="U52" s="67" t="inlineStr">
        <is>
          <t>No</t>
        </is>
      </c>
      <c r="V52" s="123">
        <f>IF(OR(B52="",B51=""),"",B52/B51-1)</f>
        <v/>
      </c>
      <c r="W52" s="79">
        <f>IF(B52="","",B52/$B$3-1)</f>
        <v/>
      </c>
      <c r="X52" s="78">
        <f>IF(B52="","",MAX($B$3:B52))</f>
        <v/>
      </c>
      <c r="Y52" s="79">
        <f>IF(OR(B52="",X52=""),"",B52/X52-1)</f>
        <v/>
      </c>
      <c r="Z52" s="78">
        <f>IF(D52="","",$B$3*D52/$D$3)</f>
        <v/>
      </c>
      <c r="AA52" s="79">
        <f>IF(D52="","",D52/$D$3-1)</f>
        <v/>
      </c>
      <c r="AB52" s="79">
        <f>IF(OR(W52="",AA52=""),"",W52-AA52)</f>
        <v/>
      </c>
      <c r="AC52" s="124" t="n"/>
      <c r="AD52" s="125" t="n"/>
      <c r="AE52" s="78">
        <f>IF(AD52="","",AC52*AD52)</f>
        <v/>
      </c>
      <c r="AF52" s="79">
        <f>IF(OR(AE52="",B52="",B52=0),"",AE52/B52)</f>
        <v/>
      </c>
      <c r="AG52" s="125" t="n">
        <v>-0.14</v>
      </c>
      <c r="AH52" s="126" t="n"/>
      <c r="AI52" s="126" t="n"/>
      <c r="AJ52" s="126" t="n"/>
    </row>
    <row r="53" ht="15.75" customHeight="1" s="68">
      <c r="A53" s="117" t="n">
        <v>46308</v>
      </c>
      <c r="B53" s="118">
        <f>IF(AND(E53="",I53="",AE53="",AG53=""),"",SUM(E53,I53,AE53,AG53))</f>
        <v/>
      </c>
      <c r="C53" s="119" t="n">
        <v>104.006950258</v>
      </c>
      <c r="D53" s="84" t="n">
        <v>743.5700000000001</v>
      </c>
      <c r="E53" s="84">
        <f>IF(D53="","",D53*C53)</f>
        <v/>
      </c>
      <c r="F53" s="120">
        <f>IF(B53="","",E53/B53)</f>
        <v/>
      </c>
      <c r="G53" s="127" t="n">
        <v>450.617228933</v>
      </c>
      <c r="H53" s="67" t="n">
        <v>78.81</v>
      </c>
      <c r="I53" s="84">
        <f>IF(H53="","",H53*G53)</f>
        <v/>
      </c>
      <c r="J53" s="120">
        <f>IF(B53="","",I53/B53)</f>
        <v/>
      </c>
      <c r="K53" s="121">
        <f>IF(B53="","",F53+J53*3)</f>
        <v/>
      </c>
      <c r="L53" s="67" t="inlineStr">
        <is>
          <t>1.63x</t>
        </is>
      </c>
      <c r="M53" s="67" t="inlineStr">
        <is>
          <t>no change - hold current position</t>
        </is>
      </c>
      <c r="N53" s="67" t="inlineStr">
        <is>
          <t>1.60x</t>
        </is>
      </c>
      <c r="O53" s="122" t="n">
        <v>0.89</v>
      </c>
      <c r="P53" s="83" t="n">
        <v>0.54</v>
      </c>
      <c r="Q53" s="83" t="n">
        <v>0.91</v>
      </c>
      <c r="R53" s="83" t="n">
        <v>0.37</v>
      </c>
      <c r="S53" s="67" t="n">
        <v>130</v>
      </c>
      <c r="T53" s="67" t="inlineStr">
        <is>
          <t>above</t>
        </is>
      </c>
      <c r="U53" s="67" t="inlineStr">
        <is>
          <t>No</t>
        </is>
      </c>
      <c r="V53" s="123">
        <f>IF(OR(B53="",B52=""),"",B53/B52-1)</f>
        <v/>
      </c>
      <c r="W53" s="79">
        <f>IF(B53="","",B53/$B$3-1)</f>
        <v/>
      </c>
      <c r="X53" s="78">
        <f>IF(B53="","",MAX($B$3:B53))</f>
        <v/>
      </c>
      <c r="Y53" s="79">
        <f>IF(OR(B53="",X53=""),"",B53/X53-1)</f>
        <v/>
      </c>
      <c r="Z53" s="78">
        <f>IF(D53="","",$B$3*D53/$D$3)</f>
        <v/>
      </c>
      <c r="AA53" s="79">
        <f>IF(D53="","",D53/$D$3-1)</f>
        <v/>
      </c>
      <c r="AB53" s="79">
        <f>IF(OR(W53="",AA53=""),"",W53-AA53)</f>
        <v/>
      </c>
      <c r="AC53" s="124" t="n"/>
      <c r="AD53" s="125" t="n"/>
      <c r="AE53" s="78">
        <f>IF(AD53="","",AC53*AD53)</f>
        <v/>
      </c>
      <c r="AF53" s="79">
        <f>IF(OR(AE53="",B53="",B53=0),"",AE53/B53)</f>
        <v/>
      </c>
      <c r="AG53" s="125" t="n">
        <v>-0.14</v>
      </c>
      <c r="AH53" s="126" t="n"/>
      <c r="AI53" s="126" t="n"/>
      <c r="AJ53" s="126" t="n"/>
    </row>
    <row r="54" ht="15.75" customHeight="1" s="68">
      <c r="A54" s="117" t="n">
        <v>46309</v>
      </c>
      <c r="B54" s="118">
        <f>IF(AND(E54="",I54="",AE54="",AG54=""),"",SUM(E54,I54,AE54,AG54))</f>
        <v/>
      </c>
      <c r="C54" s="119" t="n">
        <v>104.006950258</v>
      </c>
      <c r="D54" s="84" t="n">
        <v>728.95</v>
      </c>
      <c r="E54" s="84">
        <f>IF(D54="","",D54*C54)</f>
        <v/>
      </c>
      <c r="F54" s="120">
        <f>IF(B54="","",E54/B54)</f>
        <v/>
      </c>
      <c r="G54" s="127" t="n">
        <v>450.617228933</v>
      </c>
      <c r="H54" t="n">
        <v>74.12</v>
      </c>
      <c r="I54" s="84">
        <f>IF(H54="","",H54*G54)</f>
        <v/>
      </c>
      <c r="J54" s="120">
        <f>IF(B54="","",I54/B54)</f>
        <v/>
      </c>
      <c r="K54" s="121">
        <f>IF(B54="","",F54+J54*3)</f>
        <v/>
      </c>
      <c r="L54" s="67" t="inlineStr">
        <is>
          <t>1.63x</t>
        </is>
      </c>
      <c r="M54" s="67" t="inlineStr">
        <is>
          <t>no change - hold current position</t>
        </is>
      </c>
      <c r="N54" s="67" t="inlineStr">
        <is>
          <t>1.62x</t>
        </is>
      </c>
      <c r="O54" s="122" t="n">
        <v>0.89</v>
      </c>
      <c r="P54" s="83" t="n">
        <v>0.54</v>
      </c>
      <c r="Q54" s="83" t="n">
        <v>0.91</v>
      </c>
      <c r="R54" s="83" t="n">
        <v>0.37</v>
      </c>
      <c r="S54" s="67" t="n">
        <v>131</v>
      </c>
      <c r="T54" s="67" t="inlineStr">
        <is>
          <t>above</t>
        </is>
      </c>
      <c r="U54" s="67" t="inlineStr">
        <is>
          <t>No</t>
        </is>
      </c>
      <c r="V54" s="123">
        <f>IF(OR(B54="",B53=""),"",B54/B53-1)</f>
        <v/>
      </c>
      <c r="W54" s="79">
        <f>IF(B54="","",B54/$B$3-1)</f>
        <v/>
      </c>
      <c r="X54" s="78">
        <f>IF(B54="","",MAX($B$3:B54))</f>
        <v/>
      </c>
      <c r="Y54" s="79">
        <f>IF(OR(B54="",X54=""),"",B54/X54-1)</f>
        <v/>
      </c>
      <c r="Z54" s="78">
        <f>IF(D54="","",$B$3*D54/$D$3)</f>
        <v/>
      </c>
      <c r="AA54" s="79">
        <f>IF(D54="","",D54/$D$3-1)</f>
        <v/>
      </c>
      <c r="AB54" s="79">
        <f>IF(OR(W54="",AA54=""),"",W54-AA54)</f>
        <v/>
      </c>
      <c r="AC54" s="124" t="n"/>
      <c r="AD54" s="125" t="n"/>
      <c r="AE54" s="78">
        <f>IF(AD54="","",AC54*AD54)</f>
        <v/>
      </c>
      <c r="AF54" s="79">
        <f>IF(OR(AE54="",B54="",B54=0),"",AE54/B54)</f>
        <v/>
      </c>
      <c r="AG54" s="125" t="n">
        <v>-0.14</v>
      </c>
      <c r="AH54" s="126" t="n"/>
      <c r="AI54" s="126" t="n"/>
      <c r="AJ54" s="126" t="n"/>
    </row>
    <row r="55" ht="15.75" customHeight="1" s="68">
      <c r="A55" s="117" t="n">
        <v>46310</v>
      </c>
      <c r="B55" s="118">
        <f>IF(AND(E55="",I55="",AE55="",AG55=""),"",SUM(E55,I55,AE55,AG55))</f>
        <v/>
      </c>
      <c r="C55" s="119" t="n"/>
      <c r="D55" s="84" t="n"/>
      <c r="E55" s="84">
        <f>IF(D55="","",D55*C55)</f>
        <v/>
      </c>
      <c r="F55" s="120">
        <f>IF(B55="","",E55/B55)</f>
        <v/>
      </c>
      <c r="G55" s="127" t="n"/>
      <c r="I55" s="84">
        <f>IF(H55="","",H55*G55)</f>
        <v/>
      </c>
      <c r="J55" s="120">
        <f>IF(B55="","",I55/B55)</f>
        <v/>
      </c>
      <c r="K55" s="121">
        <f>IF(B55="","",F55+J55*3)</f>
        <v/>
      </c>
      <c r="L55" t="inlineStr">
        <is>
          <t>1.46x</t>
        </is>
      </c>
      <c r="M55" t="inlineStr">
        <is>
          <t>REBALANCE — 68.51% QQQ / 31.49% TQQQ → 76.83% QQQ / 23.17% TQQQ</t>
        </is>
      </c>
      <c r="N55" t="inlineStr">
        <is>
          <t>1.46x</t>
        </is>
      </c>
      <c r="O55" s="122" t="n">
        <v>0.89</v>
      </c>
      <c r="P55" s="83" t="n">
        <v>0.59</v>
      </c>
      <c r="Q55" s="83" t="n">
        <v>0.91</v>
      </c>
      <c r="R55" s="83" t="n">
        <v>0.37</v>
      </c>
      <c r="S55" t="n">
        <v>132</v>
      </c>
      <c r="T55" t="inlineStr">
        <is>
          <t>above</t>
        </is>
      </c>
      <c r="U55" t="inlineStr">
        <is>
          <t>No</t>
        </is>
      </c>
      <c r="V55" s="123">
        <f>IF(OR(B55="",B54=""),"",B55/B54-1)</f>
        <v/>
      </c>
      <c r="W55" s="79">
        <f>IF(B55="","",B55/$B$3-1)</f>
        <v/>
      </c>
      <c r="X55" s="78">
        <f>IF(B55="","",MAX($B$3:B55))</f>
        <v/>
      </c>
      <c r="Y55" s="79">
        <f>IF(OR(B55="",X55=""),"",B55/X55-1)</f>
        <v/>
      </c>
      <c r="Z55" s="78">
        <f>IF(D55="","",$B$3*D55/$D$3)</f>
        <v/>
      </c>
      <c r="AA55" s="79">
        <f>IF(D55="","",D55/$D$3-1)</f>
        <v/>
      </c>
      <c r="AB55" s="79">
        <f>IF(OR(W55="",AA55=""),"",W55-AA55)</f>
        <v/>
      </c>
      <c r="AC55" s="124" t="n"/>
      <c r="AD55" s="125" t="n"/>
      <c r="AE55" s="78">
        <f>IF(AD55="","",AC55*AD55)</f>
        <v/>
      </c>
      <c r="AF55" s="79">
        <f>IF(OR(AE55="",B55="",B55=0),"",AE55/B55)</f>
        <v/>
      </c>
      <c r="AG55" s="125" t="n"/>
      <c r="AH55" s="126" t="n"/>
      <c r="AI55" s="126" t="n"/>
      <c r="AJ55" s="126" t="n"/>
    </row>
    <row r="56" ht="15.75" customHeight="1" s="68">
      <c r="A56" s="117" t="n">
        <v>46311</v>
      </c>
      <c r="B56" s="118">
        <f>IF(AND(E56="",I56="",AE56="",AG56=""),"",SUM(E56,I56,AE56,AG56))</f>
        <v/>
      </c>
      <c r="C56" s="119" t="n"/>
      <c r="D56" s="84" t="n"/>
      <c r="E56" s="84">
        <f>IF(D56="","",D56*C56)</f>
        <v/>
      </c>
      <c r="F56" s="120">
        <f>IF(B56="","",E56/B56)</f>
        <v/>
      </c>
      <c r="G56" s="127" t="n"/>
      <c r="I56" s="84">
        <f>IF(H56="","",H56*G56)</f>
        <v/>
      </c>
      <c r="J56" s="120">
        <f>IF(B56="","",I56/B56)</f>
        <v/>
      </c>
      <c r="K56" s="121">
        <f>IF(B56="","",F56+J56*3)</f>
        <v/>
      </c>
      <c r="O56" s="122" t="n"/>
      <c r="P56" s="83" t="n"/>
      <c r="Q56" s="83" t="n">
        <v>0.91</v>
      </c>
      <c r="R56" s="83" t="n">
        <v>0.37</v>
      </c>
      <c r="V56" s="123">
        <f>IF(OR(B56="",B55=""),"",B56/B55-1)</f>
        <v/>
      </c>
      <c r="W56" s="79">
        <f>IF(B56="","",B56/$B$3-1)</f>
        <v/>
      </c>
      <c r="X56" s="78">
        <f>IF(B56="","",MAX($B$3:B56))</f>
        <v/>
      </c>
      <c r="Y56" s="79">
        <f>IF(OR(B56="",X56=""),"",B56/X56-1)</f>
        <v/>
      </c>
      <c r="Z56" s="78">
        <f>IF(D56="","",$B$3*D56/$D$3)</f>
        <v/>
      </c>
      <c r="AA56" s="79">
        <f>IF(D56="","",D56/$D$3-1)</f>
        <v/>
      </c>
      <c r="AB56" s="79">
        <f>IF(OR(W56="",AA56=""),"",W56-AA56)</f>
        <v/>
      </c>
      <c r="AC56" s="124" t="n"/>
      <c r="AD56" s="125" t="n"/>
      <c r="AE56" s="78">
        <f>IF(AD56="","",AC56*AD56)</f>
        <v/>
      </c>
      <c r="AF56" s="79">
        <f>IF(OR(AE56="",B56="",B56=0),"",AE56/B56)</f>
        <v/>
      </c>
      <c r="AG56" s="125" t="n"/>
      <c r="AH56" s="126" t="n"/>
      <c r="AI56" s="126" t="n"/>
      <c r="AJ56" s="126" t="n"/>
    </row>
    <row r="57" ht="15.75" customHeight="1" s="68">
      <c r="A57" s="117" t="n">
        <v>46314</v>
      </c>
      <c r="B57" s="118">
        <f>IF(AND(E57="",I57="",AE57="",AG57=""),"",SUM(E57,I57,AE57,AG57))</f>
        <v/>
      </c>
      <c r="C57" s="119" t="n"/>
      <c r="D57" s="84" t="n"/>
      <c r="E57" s="84">
        <f>IF(D57="","",D57*C57)</f>
        <v/>
      </c>
      <c r="F57" s="120">
        <f>IF(B57="","",E57/B57)</f>
        <v/>
      </c>
      <c r="G57" s="127" t="n"/>
      <c r="I57" s="84">
        <f>IF(H57="","",H57*G57)</f>
        <v/>
      </c>
      <c r="J57" s="120">
        <f>IF(B57="","",I57/B57)</f>
        <v/>
      </c>
      <c r="K57" s="121">
        <f>IF(B57="","",F57+J57*3)</f>
        <v/>
      </c>
      <c r="O57" s="122" t="n"/>
      <c r="P57" s="83" t="n"/>
      <c r="Q57" s="83" t="n">
        <v>0.91</v>
      </c>
      <c r="R57" s="83" t="n">
        <v>0.37</v>
      </c>
      <c r="V57" s="123">
        <f>IF(OR(B57="",B56=""),"",B57/B56-1)</f>
        <v/>
      </c>
      <c r="W57" s="79">
        <f>IF(B57="","",B57/$B$3-1)</f>
        <v/>
      </c>
      <c r="X57" s="78">
        <f>IF(B57="","",MAX($B$3:B57))</f>
        <v/>
      </c>
      <c r="Y57" s="79">
        <f>IF(OR(B57="",X57=""),"",B57/X57-1)</f>
        <v/>
      </c>
      <c r="Z57" s="78">
        <f>IF(D57="","",$B$3*D57/$D$3)</f>
        <v/>
      </c>
      <c r="AA57" s="79">
        <f>IF(D57="","",D57/$D$3-1)</f>
        <v/>
      </c>
      <c r="AB57" s="79">
        <f>IF(OR(W57="",AA57=""),"",W57-AA57)</f>
        <v/>
      </c>
      <c r="AC57" s="124" t="n"/>
      <c r="AD57" s="125" t="n"/>
      <c r="AE57" s="78">
        <f>IF(AD57="","",AC57*AD57)</f>
        <v/>
      </c>
      <c r="AF57" s="79">
        <f>IF(OR(AE57="",B57="",B57=0),"",AE57/B57)</f>
        <v/>
      </c>
      <c r="AG57" s="125" t="n"/>
      <c r="AH57" s="126" t="n"/>
      <c r="AI57" s="126" t="n"/>
      <c r="AJ57" s="126" t="n"/>
    </row>
    <row r="58" ht="15.75" customHeight="1" s="68">
      <c r="A58" s="117" t="n">
        <v>46315</v>
      </c>
      <c r="B58" s="118">
        <f>IF(AND(E58="",I58="",AE58="",AG58=""),"",SUM(E58,I58,AE58,AG58))</f>
        <v/>
      </c>
      <c r="C58" s="119" t="n"/>
      <c r="D58" s="84" t="n"/>
      <c r="E58" s="84">
        <f>IF(D58="","",D58*C58)</f>
        <v/>
      </c>
      <c r="F58" s="120">
        <f>IF(B58="","",E58/B58)</f>
        <v/>
      </c>
      <c r="G58" s="127" t="n"/>
      <c r="I58" s="84">
        <f>IF(H58="","",H58*G58)</f>
        <v/>
      </c>
      <c r="J58" s="120">
        <f>IF(B58="","",I58/B58)</f>
        <v/>
      </c>
      <c r="K58" s="121">
        <f>IF(B58="","",F58+J58*3)</f>
        <v/>
      </c>
      <c r="O58" s="122" t="n"/>
      <c r="P58" s="83" t="n"/>
      <c r="Q58" s="83" t="n">
        <v>0.91</v>
      </c>
      <c r="R58" s="83" t="n">
        <v>0.37</v>
      </c>
      <c r="V58" s="123">
        <f>IF(OR(B58="",B57=""),"",B58/B57-1)</f>
        <v/>
      </c>
      <c r="W58" s="79">
        <f>IF(B58="","",B58/$B$3-1)</f>
        <v/>
      </c>
      <c r="X58" s="78">
        <f>IF(B58="","",MAX($B$3:B58))</f>
        <v/>
      </c>
      <c r="Y58" s="79">
        <f>IF(OR(B58="",X58=""),"",B58/X58-1)</f>
        <v/>
      </c>
      <c r="Z58" s="78">
        <f>IF(D58="","",$B$3*D58/$D$3)</f>
        <v/>
      </c>
      <c r="AA58" s="79">
        <f>IF(D58="","",D58/$D$3-1)</f>
        <v/>
      </c>
      <c r="AB58" s="79">
        <f>IF(OR(W58="",AA58=""),"",W58-AA58)</f>
        <v/>
      </c>
      <c r="AC58" s="124" t="n"/>
      <c r="AD58" s="125" t="n"/>
      <c r="AE58" s="78">
        <f>IF(AD58="","",AC58*AD58)</f>
        <v/>
      </c>
      <c r="AF58" s="79">
        <f>IF(OR(AE58="",B58="",B58=0),"",AE58/B58)</f>
        <v/>
      </c>
      <c r="AG58" s="125" t="n"/>
      <c r="AH58" s="126" t="n"/>
      <c r="AI58" s="126" t="n"/>
      <c r="AJ58" s="126" t="n"/>
    </row>
    <row r="59" ht="15.75" customHeight="1" s="68">
      <c r="A59" s="117" t="n">
        <v>46316</v>
      </c>
      <c r="B59" s="118">
        <f>IF(AND(E59="",I59="",AE59="",AG59=""),"",SUM(E59,I59,AE59,AG59))</f>
        <v/>
      </c>
      <c r="C59" s="119" t="n"/>
      <c r="D59" s="84" t="n"/>
      <c r="E59" s="84">
        <f>IF(D59="","",D59*C59)</f>
        <v/>
      </c>
      <c r="F59" s="120">
        <f>IF(B59="","",E59/B59)</f>
        <v/>
      </c>
      <c r="G59" s="127" t="n"/>
      <c r="I59" s="84">
        <f>IF(H59="","",H59*G59)</f>
        <v/>
      </c>
      <c r="J59" s="120">
        <f>IF(B59="","",I59/B59)</f>
        <v/>
      </c>
      <c r="K59" s="121">
        <f>IF(B59="","",F59+J59*3)</f>
        <v/>
      </c>
      <c r="O59" s="122" t="n"/>
      <c r="P59" s="83" t="n"/>
      <c r="Q59" s="83" t="n">
        <v>0.91</v>
      </c>
      <c r="R59" s="83" t="n">
        <v>0.37</v>
      </c>
      <c r="V59" s="123">
        <f>IF(OR(B59="",B58=""),"",B59/B58-1)</f>
        <v/>
      </c>
      <c r="W59" s="79">
        <f>IF(B59="","",B59/$B$3-1)</f>
        <v/>
      </c>
      <c r="X59" s="78">
        <f>IF(B59="","",MAX($B$3:B59))</f>
        <v/>
      </c>
      <c r="Y59" s="79">
        <f>IF(OR(B59="",X59=""),"",B59/X59-1)</f>
        <v/>
      </c>
      <c r="Z59" s="78">
        <f>IF(D59="","",$B$3*D59/$D$3)</f>
        <v/>
      </c>
      <c r="AA59" s="79">
        <f>IF(D59="","",D59/$D$3-1)</f>
        <v/>
      </c>
      <c r="AB59" s="79">
        <f>IF(OR(W59="",AA59=""),"",W59-AA59)</f>
        <v/>
      </c>
      <c r="AC59" s="124" t="n"/>
      <c r="AD59" s="125" t="n"/>
      <c r="AE59" s="78">
        <f>IF(AD59="","",AC59*AD59)</f>
        <v/>
      </c>
      <c r="AF59" s="79">
        <f>IF(OR(AE59="",B59="",B59=0),"",AE59/B59)</f>
        <v/>
      </c>
      <c r="AG59" s="125" t="n"/>
      <c r="AH59" s="126" t="n"/>
      <c r="AI59" s="126" t="n"/>
      <c r="AJ59" s="126" t="n"/>
    </row>
    <row r="60" ht="15.75" customHeight="1" s="68">
      <c r="A60" s="117" t="n">
        <v>46317</v>
      </c>
      <c r="B60" s="118">
        <f>IF(AND(E60="",I60="",AE60="",AG60=""),"",SUM(E60,I60,AE60,AG60))</f>
        <v/>
      </c>
      <c r="C60" s="119" t="n"/>
      <c r="D60" s="84" t="n"/>
      <c r="E60" s="84">
        <f>IF(D60="","",D60*C60)</f>
        <v/>
      </c>
      <c r="F60" s="120">
        <f>IF(B60="","",E60/B60)</f>
        <v/>
      </c>
      <c r="G60" s="127" t="n"/>
      <c r="I60" s="84">
        <f>IF(H60="","",H60*G60)</f>
        <v/>
      </c>
      <c r="J60" s="120">
        <f>IF(B60="","",I60/B60)</f>
        <v/>
      </c>
      <c r="K60" s="121">
        <f>IF(B60="","",F60+J60*3)</f>
        <v/>
      </c>
      <c r="O60" s="122" t="n"/>
      <c r="P60" s="83" t="n"/>
      <c r="Q60" s="83" t="n">
        <v>0.91</v>
      </c>
      <c r="R60" s="83" t="n">
        <v>0.37</v>
      </c>
      <c r="V60" s="123">
        <f>IF(OR(B60="",B59=""),"",B60/B59-1)</f>
        <v/>
      </c>
      <c r="W60" s="79">
        <f>IF(B60="","",B60/$B$3-1)</f>
        <v/>
      </c>
      <c r="X60" s="78">
        <f>IF(B60="","",MAX($B$3:B60))</f>
        <v/>
      </c>
      <c r="Y60" s="79">
        <f>IF(OR(B60="",X60=""),"",B60/X60-1)</f>
        <v/>
      </c>
      <c r="Z60" s="78">
        <f>IF(D60="","",$B$3*D60/$D$3)</f>
        <v/>
      </c>
      <c r="AA60" s="79">
        <f>IF(D60="","",D60/$D$3-1)</f>
        <v/>
      </c>
      <c r="AB60" s="79">
        <f>IF(OR(W60="",AA60=""),"",W60-AA60)</f>
        <v/>
      </c>
      <c r="AC60" s="124" t="n"/>
      <c r="AD60" s="125" t="n"/>
      <c r="AE60" s="78">
        <f>IF(AD60="","",AC60*AD60)</f>
        <v/>
      </c>
      <c r="AF60" s="79">
        <f>IF(OR(AE60="",B60="",B60=0),"",AE60/B60)</f>
        <v/>
      </c>
      <c r="AG60" s="125" t="n"/>
      <c r="AH60" s="126" t="n"/>
      <c r="AI60" s="126" t="n"/>
      <c r="AJ60" s="126" t="n"/>
    </row>
    <row r="61" ht="15.75" customHeight="1" s="68">
      <c r="A61" s="117" t="n">
        <v>46318</v>
      </c>
      <c r="B61" s="118">
        <f>IF(AND(E61="",I61="",AE61="",AG61=""),"",SUM(E61,I61,AE61,AG61))</f>
        <v/>
      </c>
      <c r="C61" s="119" t="n"/>
      <c r="D61" s="84" t="n"/>
      <c r="E61" s="84">
        <f>IF(D61="","",D61*C61)</f>
        <v/>
      </c>
      <c r="F61" s="120">
        <f>IF(B61="","",E61/B61)</f>
        <v/>
      </c>
      <c r="G61" s="127" t="n"/>
      <c r="I61" s="84">
        <f>IF(H61="","",H61*G61)</f>
        <v/>
      </c>
      <c r="J61" s="120">
        <f>IF(B61="","",I61/B61)</f>
        <v/>
      </c>
      <c r="K61" s="121">
        <f>IF(B61="","",F61+J61*3)</f>
        <v/>
      </c>
      <c r="O61" s="122" t="n"/>
      <c r="P61" s="83" t="n"/>
      <c r="Q61" s="83" t="n">
        <v>0.91</v>
      </c>
      <c r="R61" s="83" t="n">
        <v>0.37</v>
      </c>
      <c r="V61" s="123">
        <f>IF(OR(B61="",B60=""),"",B61/B60-1)</f>
        <v/>
      </c>
      <c r="W61" s="79">
        <f>IF(B61="","",B61/$B$3-1)</f>
        <v/>
      </c>
      <c r="X61" s="78">
        <f>IF(B61="","",MAX($B$3:B61))</f>
        <v/>
      </c>
      <c r="Y61" s="79">
        <f>IF(OR(B61="",X61=""),"",B61/X61-1)</f>
        <v/>
      </c>
      <c r="Z61" s="78">
        <f>IF(D61="","",$B$3*D61/$D$3)</f>
        <v/>
      </c>
      <c r="AA61" s="79">
        <f>IF(D61="","",D61/$D$3-1)</f>
        <v/>
      </c>
      <c r="AB61" s="79">
        <f>IF(OR(W61="",AA61=""),"",W61-AA61)</f>
        <v/>
      </c>
      <c r="AC61" s="124" t="n"/>
      <c r="AD61" s="125" t="n"/>
      <c r="AE61" s="78">
        <f>IF(AD61="","",AC61*AD61)</f>
        <v/>
      </c>
      <c r="AF61" s="79">
        <f>IF(OR(AE61="",B61="",B61=0),"",AE61/B61)</f>
        <v/>
      </c>
      <c r="AG61" s="125" t="n"/>
      <c r="AH61" s="126" t="n"/>
      <c r="AI61" s="126" t="n"/>
      <c r="AJ61" s="126" t="n"/>
    </row>
    <row r="62" ht="15.75" customHeight="1" s="68">
      <c r="A62" s="117" t="n">
        <v>46321</v>
      </c>
      <c r="B62" s="118">
        <f>IF(AND(E62="",I62="",AE62="",AG62=""),"",SUM(E62,I62,AE62,AG62))</f>
        <v/>
      </c>
      <c r="C62" s="119" t="n"/>
      <c r="D62" s="84" t="n"/>
      <c r="E62" s="84">
        <f>IF(D62="","",D62*C62)</f>
        <v/>
      </c>
      <c r="F62" s="120">
        <f>IF(B62="","",E62/B62)</f>
        <v/>
      </c>
      <c r="G62" s="127" t="n"/>
      <c r="I62" s="84">
        <f>IF(H62="","",H62*G62)</f>
        <v/>
      </c>
      <c r="J62" s="120">
        <f>IF(B62="","",I62/B62)</f>
        <v/>
      </c>
      <c r="K62" s="121">
        <f>IF(B62="","",F62+J62*3)</f>
        <v/>
      </c>
      <c r="O62" s="122" t="n"/>
      <c r="P62" s="83" t="n"/>
      <c r="Q62" s="83" t="n">
        <v>0.91</v>
      </c>
      <c r="R62" s="83" t="n">
        <v>0.37</v>
      </c>
      <c r="V62" s="123">
        <f>IF(OR(B62="",B61=""),"",B62/B61-1)</f>
        <v/>
      </c>
      <c r="W62" s="79">
        <f>IF(B62="","",B62/$B$3-1)</f>
        <v/>
      </c>
      <c r="X62" s="78">
        <f>IF(B62="","",MAX($B$3:B62))</f>
        <v/>
      </c>
      <c r="Y62" s="79">
        <f>IF(OR(B62="",X62=""),"",B62/X62-1)</f>
        <v/>
      </c>
      <c r="Z62" s="78">
        <f>IF(D62="","",$B$3*D62/$D$3)</f>
        <v/>
      </c>
      <c r="AA62" s="79">
        <f>IF(D62="","",D62/$D$3-1)</f>
        <v/>
      </c>
      <c r="AB62" s="79">
        <f>IF(OR(W62="",AA62=""),"",W62-AA62)</f>
        <v/>
      </c>
      <c r="AC62" s="124" t="n"/>
      <c r="AD62" s="125" t="n"/>
      <c r="AE62" s="78">
        <f>IF(AD62="","",AC62*AD62)</f>
        <v/>
      </c>
      <c r="AF62" s="79">
        <f>IF(OR(AE62="",B62="",B62=0),"",AE62/B62)</f>
        <v/>
      </c>
      <c r="AG62" s="125" t="n"/>
      <c r="AH62" s="126" t="n"/>
      <c r="AI62" s="126" t="n"/>
      <c r="AJ62" s="126" t="n"/>
    </row>
    <row r="63" ht="15.75" customHeight="1" s="68">
      <c r="A63" s="117" t="n">
        <v>46322</v>
      </c>
      <c r="B63" s="118">
        <f>IF(AND(E63="",I63="",AE63="",AG63=""),"",SUM(E63,I63,AE63,AG63))</f>
        <v/>
      </c>
      <c r="C63" s="119" t="n"/>
      <c r="D63" s="84" t="n"/>
      <c r="E63" s="84">
        <f>IF(D63="","",D63*C63)</f>
        <v/>
      </c>
      <c r="F63" s="120">
        <f>IF(B63="","",E63/B63)</f>
        <v/>
      </c>
      <c r="G63" s="127" t="n"/>
      <c r="I63" s="84">
        <f>IF(H63="","",H63*G63)</f>
        <v/>
      </c>
      <c r="J63" s="120">
        <f>IF(B63="","",I63/B63)</f>
        <v/>
      </c>
      <c r="K63" s="121">
        <f>IF(B63="","",F63+J63*3)</f>
        <v/>
      </c>
      <c r="O63" s="122" t="n"/>
      <c r="P63" s="83" t="n"/>
      <c r="Q63" s="83" t="n">
        <v>0.91</v>
      </c>
      <c r="R63" s="83" t="n">
        <v>0.37</v>
      </c>
      <c r="V63" s="123">
        <f>IF(OR(B63="",B62=""),"",B63/B62-1)</f>
        <v/>
      </c>
      <c r="W63" s="79">
        <f>IF(B63="","",B63/$B$3-1)</f>
        <v/>
      </c>
      <c r="X63" s="78">
        <f>IF(B63="","",MAX($B$3:B63))</f>
        <v/>
      </c>
      <c r="Y63" s="79">
        <f>IF(OR(B63="",X63=""),"",B63/X63-1)</f>
        <v/>
      </c>
      <c r="Z63" s="78">
        <f>IF(D63="","",$B$3*D63/$D$3)</f>
        <v/>
      </c>
      <c r="AA63" s="79">
        <f>IF(D63="","",D63/$D$3-1)</f>
        <v/>
      </c>
      <c r="AB63" s="79">
        <f>IF(OR(W63="",AA63=""),"",W63-AA63)</f>
        <v/>
      </c>
      <c r="AC63" s="124" t="n"/>
      <c r="AD63" s="125" t="n"/>
      <c r="AE63" s="78">
        <f>IF(AD63="","",AC63*AD63)</f>
        <v/>
      </c>
      <c r="AF63" s="79">
        <f>IF(OR(AE63="",B63="",B63=0),"",AE63/B63)</f>
        <v/>
      </c>
      <c r="AG63" s="125" t="n"/>
      <c r="AH63" s="126" t="n"/>
      <c r="AI63" s="126" t="n"/>
      <c r="AJ63" s="126" t="n"/>
    </row>
    <row r="64" ht="15.75" customHeight="1" s="68">
      <c r="A64" s="117" t="n">
        <v>46323</v>
      </c>
      <c r="B64" s="118">
        <f>IF(AND(E64="",I64="",AE64="",AG64=""),"",SUM(E64,I64,AE64,AG64))</f>
        <v/>
      </c>
      <c r="C64" s="119" t="n"/>
      <c r="D64" s="84" t="n"/>
      <c r="E64" s="84">
        <f>IF(D64="","",D64*C64)</f>
        <v/>
      </c>
      <c r="F64" s="120">
        <f>IF(B64="","",E64/B64)</f>
        <v/>
      </c>
      <c r="G64" s="127" t="n"/>
      <c r="I64" s="84">
        <f>IF(H64="","",H64*G64)</f>
        <v/>
      </c>
      <c r="J64" s="120">
        <f>IF(B64="","",I64/B64)</f>
        <v/>
      </c>
      <c r="K64" s="121">
        <f>IF(B64="","",F64+J64*3)</f>
        <v/>
      </c>
      <c r="O64" s="122" t="n"/>
      <c r="P64" s="83" t="n"/>
      <c r="Q64" s="83" t="n">
        <v>0.91</v>
      </c>
      <c r="R64" s="83" t="n">
        <v>0.37</v>
      </c>
      <c r="V64" s="123">
        <f>IF(OR(B64="",B63=""),"",B64/B63-1)</f>
        <v/>
      </c>
      <c r="W64" s="79">
        <f>IF(B64="","",B64/$B$3-1)</f>
        <v/>
      </c>
      <c r="X64" s="78">
        <f>IF(B64="","",MAX($B$3:B64))</f>
        <v/>
      </c>
      <c r="Y64" s="79">
        <f>IF(OR(B64="",X64=""),"",B64/X64-1)</f>
        <v/>
      </c>
      <c r="Z64" s="78">
        <f>IF(D64="","",$B$3*D64/$D$3)</f>
        <v/>
      </c>
      <c r="AA64" s="79">
        <f>IF(D64="","",D64/$D$3-1)</f>
        <v/>
      </c>
      <c r="AB64" s="79">
        <f>IF(OR(W64="",AA64=""),"",W64-AA64)</f>
        <v/>
      </c>
      <c r="AC64" s="124" t="n"/>
      <c r="AD64" s="125" t="n"/>
      <c r="AE64" s="78">
        <f>IF(AD64="","",AC64*AD64)</f>
        <v/>
      </c>
      <c r="AF64" s="79">
        <f>IF(OR(AE64="",B64="",B64=0),"",AE64/B64)</f>
        <v/>
      </c>
      <c r="AG64" s="125" t="n"/>
      <c r="AH64" s="126" t="n"/>
      <c r="AI64" s="126" t="n"/>
      <c r="AJ64" s="126" t="n"/>
    </row>
    <row r="65" ht="15.75" customHeight="1" s="68">
      <c r="A65" s="117" t="n">
        <v>46324</v>
      </c>
      <c r="B65" s="118">
        <f>IF(AND(E65="",I65="",AE65="",AG65=""),"",SUM(E65,I65,AE65,AG65))</f>
        <v/>
      </c>
      <c r="C65" s="119" t="n"/>
      <c r="D65" s="84" t="n"/>
      <c r="E65" s="84">
        <f>IF(D65="","",D65*C65)</f>
        <v/>
      </c>
      <c r="F65" s="120">
        <f>IF(B65="","",E65/B65)</f>
        <v/>
      </c>
      <c r="G65" s="127" t="n"/>
      <c r="I65" s="84">
        <f>IF(H65="","",H65*G65)</f>
        <v/>
      </c>
      <c r="J65" s="120">
        <f>IF(B65="","",I65/B65)</f>
        <v/>
      </c>
      <c r="K65" s="121">
        <f>IF(B65="","",F65+J65*3)</f>
        <v/>
      </c>
      <c r="O65" s="122" t="n"/>
      <c r="P65" s="83" t="n"/>
      <c r="Q65" s="83" t="n">
        <v>0.91</v>
      </c>
      <c r="R65" s="83" t="n">
        <v>0.37</v>
      </c>
      <c r="V65" s="123">
        <f>IF(OR(B65="",B64=""),"",B65/B64-1)</f>
        <v/>
      </c>
      <c r="W65" s="79">
        <f>IF(B65="","",B65/$B$3-1)</f>
        <v/>
      </c>
      <c r="X65" s="78">
        <f>IF(B65="","",MAX($B$3:B65))</f>
        <v/>
      </c>
      <c r="Y65" s="79">
        <f>IF(OR(B65="",X65=""),"",B65/X65-1)</f>
        <v/>
      </c>
      <c r="Z65" s="78">
        <f>IF(D65="","",$B$3*D65/$D$3)</f>
        <v/>
      </c>
      <c r="AA65" s="79">
        <f>IF(D65="","",D65/$D$3-1)</f>
        <v/>
      </c>
      <c r="AB65" s="79">
        <f>IF(OR(W65="",AA65=""),"",W65-AA65)</f>
        <v/>
      </c>
      <c r="AC65" s="124" t="n"/>
      <c r="AD65" s="125" t="n"/>
      <c r="AE65" s="78">
        <f>IF(AD65="","",AC65*AD65)</f>
        <v/>
      </c>
      <c r="AF65" s="79">
        <f>IF(OR(AE65="",B65="",B65=0),"",AE65/B65)</f>
        <v/>
      </c>
      <c r="AG65" s="125" t="n"/>
      <c r="AH65" s="126" t="n"/>
      <c r="AI65" s="126" t="n"/>
      <c r="AJ65" s="126" t="n"/>
    </row>
    <row r="66" ht="15.75" customHeight="1" s="68">
      <c r="A66" s="117" t="n">
        <v>46325</v>
      </c>
      <c r="B66" s="118">
        <f>IF(AND(E66="",I66="",AE66="",AG66=""),"",SUM(E66,I66,AE66,AG66))</f>
        <v/>
      </c>
      <c r="C66" s="119" t="n"/>
      <c r="D66" s="84" t="n"/>
      <c r="E66" s="84">
        <f>IF(D66="","",D66*C66)</f>
        <v/>
      </c>
      <c r="F66" s="120">
        <f>IF(B66="","",E66/B66)</f>
        <v/>
      </c>
      <c r="G66" s="127" t="n"/>
      <c r="I66" s="84">
        <f>IF(H66="","",H66*G66)</f>
        <v/>
      </c>
      <c r="J66" s="120">
        <f>IF(B66="","",I66/B66)</f>
        <v/>
      </c>
      <c r="K66" s="121">
        <f>IF(B66="","",F66+J66*3)</f>
        <v/>
      </c>
      <c r="O66" s="122" t="n"/>
      <c r="P66" s="83" t="n"/>
      <c r="Q66" s="83" t="n">
        <v>0.91</v>
      </c>
      <c r="R66" s="83" t="n">
        <v>0.37</v>
      </c>
      <c r="V66" s="123">
        <f>IF(OR(B66="",B65=""),"",B66/B65-1)</f>
        <v/>
      </c>
      <c r="W66" s="79">
        <f>IF(B66="","",B66/$B$3-1)</f>
        <v/>
      </c>
      <c r="X66" s="78">
        <f>IF(B66="","",MAX($B$3:B66))</f>
        <v/>
      </c>
      <c r="Y66" s="79">
        <f>IF(OR(B66="",X66=""),"",B66/X66-1)</f>
        <v/>
      </c>
      <c r="Z66" s="78">
        <f>IF(D66="","",$B$3*D66/$D$3)</f>
        <v/>
      </c>
      <c r="AA66" s="79">
        <f>IF(D66="","",D66/$D$3-1)</f>
        <v/>
      </c>
      <c r="AB66" s="79">
        <f>IF(OR(W66="",AA66=""),"",W66-AA66)</f>
        <v/>
      </c>
      <c r="AC66" s="124" t="n"/>
      <c r="AD66" s="125" t="n"/>
      <c r="AE66" s="78">
        <f>IF(AD66="","",AC66*AD66)</f>
        <v/>
      </c>
      <c r="AF66" s="79">
        <f>IF(OR(AE66="",B66="",B66=0),"",AE66/B66)</f>
        <v/>
      </c>
      <c r="AG66" s="125" t="n"/>
      <c r="AH66" s="126" t="n"/>
      <c r="AI66" s="126" t="n"/>
      <c r="AJ66" s="126" t="n"/>
    </row>
    <row r="67" ht="15.75" customHeight="1" s="68">
      <c r="A67" s="117" t="n">
        <v>46328</v>
      </c>
      <c r="B67" s="118">
        <f>IF(AND(E67="",I67="",AE67="",AG67=""),"",SUM(E67,I67,AE67,AG67))</f>
        <v/>
      </c>
      <c r="C67" s="119" t="n"/>
      <c r="D67" s="84" t="n"/>
      <c r="E67" s="84">
        <f>IF(D67="","",D67*C67)</f>
        <v/>
      </c>
      <c r="F67" s="120">
        <f>IF(B67="","",E67/B67)</f>
        <v/>
      </c>
      <c r="G67" s="127" t="n"/>
      <c r="I67" s="84">
        <f>IF(H67="","",H67*G67)</f>
        <v/>
      </c>
      <c r="J67" s="120">
        <f>IF(B67="","",I67/B67)</f>
        <v/>
      </c>
      <c r="K67" s="121">
        <f>IF(B67="","",F67+J67*3)</f>
        <v/>
      </c>
      <c r="O67" s="122" t="n"/>
      <c r="P67" s="83" t="n"/>
      <c r="Q67" s="83" t="n"/>
      <c r="R67" s="83" t="n"/>
      <c r="V67" s="123">
        <f>IF(OR(B67="",B66=""),"",B67/B66-1)</f>
        <v/>
      </c>
      <c r="W67" s="79">
        <f>IF(B67="","",B67/$B$3-1)</f>
        <v/>
      </c>
      <c r="X67" s="78">
        <f>IF(B67="","",MAX($B$3:B67))</f>
        <v/>
      </c>
      <c r="Y67" s="79">
        <f>IF(OR(B67="",X67=""),"",B67/X67-1)</f>
        <v/>
      </c>
      <c r="Z67" s="78">
        <f>IF(D67="","",$B$3*D67/$D$3)</f>
        <v/>
      </c>
      <c r="AA67" s="79">
        <f>IF(D67="","",D67/$D$3-1)</f>
        <v/>
      </c>
      <c r="AB67" s="79">
        <f>IF(OR(W67="",AA67=""),"",W67-AA67)</f>
        <v/>
      </c>
      <c r="AC67" s="124" t="n"/>
      <c r="AD67" s="125" t="n"/>
      <c r="AE67" s="78">
        <f>IF(AD67="","",AC67*AD67)</f>
        <v/>
      </c>
      <c r="AF67" s="79">
        <f>IF(OR(AE67="",B67="",B67=0),"",AE67/B67)</f>
        <v/>
      </c>
      <c r="AG67" s="125" t="n"/>
      <c r="AH67" s="126" t="n"/>
      <c r="AI67" s="126" t="n"/>
      <c r="AJ67" s="126" t="n"/>
    </row>
    <row r="68" ht="15.75" customHeight="1" s="68">
      <c r="A68" s="117" t="n">
        <v>46329</v>
      </c>
      <c r="B68" s="118">
        <f>IF(AND(E68="",I68="",AE68="",AG68=""),"",SUM(E68,I68,AE68,AG68))</f>
        <v/>
      </c>
      <c r="C68" s="119" t="n"/>
      <c r="D68" s="84" t="n"/>
      <c r="E68" s="84">
        <f>IF(D68="","",D68*C68)</f>
        <v/>
      </c>
      <c r="F68" s="120">
        <f>IF(B68="","",E68/B68)</f>
        <v/>
      </c>
      <c r="G68" s="127" t="n"/>
      <c r="I68" s="84">
        <f>IF(H68="","",H68*G68)</f>
        <v/>
      </c>
      <c r="J68" s="120">
        <f>IF(B68="","",I68/B68)</f>
        <v/>
      </c>
      <c r="K68" s="121">
        <f>IF(B68="","",F68+J68*3)</f>
        <v/>
      </c>
      <c r="O68" s="122" t="n"/>
      <c r="P68" s="83" t="n"/>
      <c r="Q68" s="83" t="n"/>
      <c r="R68" s="83" t="n"/>
      <c r="V68" s="123">
        <f>IF(OR(B68="",B67=""),"",B68/B67-1)</f>
        <v/>
      </c>
      <c r="W68" s="79">
        <f>IF(B68="","",B68/$B$3-1)</f>
        <v/>
      </c>
      <c r="X68" s="78">
        <f>IF(B68="","",MAX($B$3:B68))</f>
        <v/>
      </c>
      <c r="Y68" s="79">
        <f>IF(OR(B68="",X68=""),"",B68/X68-1)</f>
        <v/>
      </c>
      <c r="Z68" s="78">
        <f>IF(D68="","",$B$3*D68/$D$3)</f>
        <v/>
      </c>
      <c r="AA68" s="79">
        <f>IF(D68="","",D68/$D$3-1)</f>
        <v/>
      </c>
      <c r="AB68" s="79">
        <f>IF(OR(W68="",AA68=""),"",W68-AA68)</f>
        <v/>
      </c>
      <c r="AC68" s="124" t="n"/>
      <c r="AD68" s="125" t="n"/>
      <c r="AE68" s="78">
        <f>IF(AD68="","",AC68*AD68)</f>
        <v/>
      </c>
      <c r="AF68" s="79">
        <f>IF(OR(AE68="",B68="",B68=0),"",AE68/B68)</f>
        <v/>
      </c>
      <c r="AG68" s="125" t="n"/>
      <c r="AH68" s="126" t="n"/>
      <c r="AI68" s="126" t="n"/>
      <c r="AJ68" s="126" t="n"/>
    </row>
    <row r="69" ht="15.75" customHeight="1" s="68">
      <c r="A69" s="117" t="n">
        <v>46330</v>
      </c>
      <c r="B69" s="118">
        <f>IF(AND(E69="",I69="",AE69="",AG69=""),"",SUM(E69,I69,AE69,AG69))</f>
        <v/>
      </c>
      <c r="C69" s="119" t="n"/>
      <c r="D69" s="84" t="n"/>
      <c r="E69" s="84">
        <f>IF(D69="","",D69*C69)</f>
        <v/>
      </c>
      <c r="F69" s="120">
        <f>IF(B69="","",E69/B69)</f>
        <v/>
      </c>
      <c r="G69" s="127" t="n"/>
      <c r="I69" s="84">
        <f>IF(H69="","",H69*G69)</f>
        <v/>
      </c>
      <c r="J69" s="120">
        <f>IF(B69="","",I69/B69)</f>
        <v/>
      </c>
      <c r="K69" s="121">
        <f>IF(B69="","",F69+J69*3)</f>
        <v/>
      </c>
      <c r="O69" s="122" t="n"/>
      <c r="P69" s="83" t="n"/>
      <c r="Q69" s="83" t="n"/>
      <c r="R69" s="83" t="n"/>
      <c r="V69" s="123">
        <f>IF(OR(B69="",B68=""),"",B69/B68-1)</f>
        <v/>
      </c>
      <c r="W69" s="79">
        <f>IF(B69="","",B69/$B$3-1)</f>
        <v/>
      </c>
      <c r="X69" s="78">
        <f>IF(B69="","",MAX($B$3:B69))</f>
        <v/>
      </c>
      <c r="Y69" s="79">
        <f>IF(OR(B69="",X69=""),"",B69/X69-1)</f>
        <v/>
      </c>
      <c r="Z69" s="78">
        <f>IF(D69="","",$B$3*D69/$D$3)</f>
        <v/>
      </c>
      <c r="AA69" s="79">
        <f>IF(D69="","",D69/$D$3-1)</f>
        <v/>
      </c>
      <c r="AB69" s="79">
        <f>IF(OR(W69="",AA69=""),"",W69-AA69)</f>
        <v/>
      </c>
      <c r="AC69" s="124" t="n"/>
      <c r="AD69" s="125" t="n"/>
      <c r="AE69" s="78">
        <f>IF(AD69="","",AC69*AD69)</f>
        <v/>
      </c>
      <c r="AF69" s="79">
        <f>IF(OR(AE69="",B69="",B69=0),"",AE69/B69)</f>
        <v/>
      </c>
      <c r="AG69" s="125" t="n"/>
      <c r="AH69" s="126" t="n"/>
      <c r="AI69" s="126" t="n"/>
      <c r="AJ69" s="126" t="n"/>
    </row>
    <row r="70" ht="15.75" customHeight="1" s="68">
      <c r="A70" s="117" t="n">
        <v>46331</v>
      </c>
      <c r="B70" s="118">
        <f>IF(AND(E70="",I70="",AE70="",AG70=""),"",SUM(E70,I70,AE70,AG70))</f>
        <v/>
      </c>
      <c r="C70" s="119" t="n"/>
      <c r="D70" s="84" t="n"/>
      <c r="E70" s="84">
        <f>IF(D70="","",D70*C70)</f>
        <v/>
      </c>
      <c r="F70" s="120">
        <f>IF(B70="","",E70/B70)</f>
        <v/>
      </c>
      <c r="G70" s="127" t="n"/>
      <c r="I70" s="84">
        <f>IF(H70="","",H70*G70)</f>
        <v/>
      </c>
      <c r="J70" s="120">
        <f>IF(B70="","",I70/B70)</f>
        <v/>
      </c>
      <c r="K70" s="121">
        <f>IF(B70="","",F70+J70*3)</f>
        <v/>
      </c>
      <c r="O70" s="122" t="n"/>
      <c r="P70" s="83" t="n"/>
      <c r="Q70" s="83" t="n"/>
      <c r="R70" s="83" t="n"/>
      <c r="V70" s="123">
        <f>IF(OR(B70="",B69=""),"",B70/B69-1)</f>
        <v/>
      </c>
      <c r="W70" s="79">
        <f>IF(B70="","",B70/$B$3-1)</f>
        <v/>
      </c>
      <c r="X70" s="78">
        <f>IF(B70="","",MAX($B$3:B70))</f>
        <v/>
      </c>
      <c r="Y70" s="79">
        <f>IF(OR(B70="",X70=""),"",B70/X70-1)</f>
        <v/>
      </c>
      <c r="Z70" s="78">
        <f>IF(D70="","",$B$3*D70/$D$3)</f>
        <v/>
      </c>
      <c r="AA70" s="79">
        <f>IF(D70="","",D70/$D$3-1)</f>
        <v/>
      </c>
      <c r="AB70" s="79">
        <f>IF(OR(W70="",AA70=""),"",W70-AA70)</f>
        <v/>
      </c>
      <c r="AC70" s="124" t="n"/>
      <c r="AD70" s="125" t="n"/>
      <c r="AE70" s="78">
        <f>IF(AD70="","",AC70*AD70)</f>
        <v/>
      </c>
      <c r="AF70" s="79">
        <f>IF(OR(AE70="",B70="",B70=0),"",AE70/B70)</f>
        <v/>
      </c>
      <c r="AG70" s="125" t="n"/>
      <c r="AH70" s="126" t="n"/>
      <c r="AI70" s="126" t="n"/>
      <c r="AJ70" s="126" t="n"/>
    </row>
    <row r="71" ht="15.75" customHeight="1" s="68">
      <c r="A71" s="117" t="n">
        <v>46332</v>
      </c>
      <c r="B71" s="118">
        <f>IF(AND(E71="",I71="",AE71="",AG71=""),"",SUM(E71,I71,AE71,AG71))</f>
        <v/>
      </c>
      <c r="C71" s="119" t="n"/>
      <c r="D71" s="84" t="n"/>
      <c r="E71" s="84">
        <f>IF(D71="","",D71*C71)</f>
        <v/>
      </c>
      <c r="F71" s="120">
        <f>IF(B71="","",E71/B71)</f>
        <v/>
      </c>
      <c r="G71" s="127" t="n"/>
      <c r="I71" s="84">
        <f>IF(H71="","",H71*G71)</f>
        <v/>
      </c>
      <c r="J71" s="120">
        <f>IF(B71="","",I71/B71)</f>
        <v/>
      </c>
      <c r="K71" s="121">
        <f>IF(B71="","",F71+J71*3)</f>
        <v/>
      </c>
      <c r="O71" s="122" t="n"/>
      <c r="P71" s="83" t="n"/>
      <c r="Q71" s="83" t="n"/>
      <c r="R71" s="83" t="n"/>
      <c r="V71" s="123">
        <f>IF(OR(B71="",B70=""),"",B71/B70-1)</f>
        <v/>
      </c>
      <c r="W71" s="79">
        <f>IF(B71="","",B71/$B$3-1)</f>
        <v/>
      </c>
      <c r="X71" s="78">
        <f>IF(B71="","",MAX($B$3:B71))</f>
        <v/>
      </c>
      <c r="Y71" s="79">
        <f>IF(OR(B71="",X71=""),"",B71/X71-1)</f>
        <v/>
      </c>
      <c r="Z71" s="78">
        <f>IF(D71="","",$B$3*D71/$D$3)</f>
        <v/>
      </c>
      <c r="AA71" s="79">
        <f>IF(D71="","",D71/$D$3-1)</f>
        <v/>
      </c>
      <c r="AB71" s="79">
        <f>IF(OR(W71="",AA71=""),"",W71-AA71)</f>
        <v/>
      </c>
      <c r="AC71" s="124" t="n"/>
      <c r="AD71" s="125" t="n"/>
      <c r="AE71" s="78">
        <f>IF(AD71="","",AC71*AD71)</f>
        <v/>
      </c>
      <c r="AF71" s="79">
        <f>IF(OR(AE71="",B71="",B71=0),"",AE71/B71)</f>
        <v/>
      </c>
      <c r="AG71" s="125" t="n"/>
      <c r="AH71" s="126" t="n"/>
      <c r="AI71" s="126" t="n"/>
      <c r="AJ71" s="126" t="n"/>
    </row>
    <row r="72" ht="15.75" customHeight="1" s="68">
      <c r="A72" s="117" t="n">
        <v>46335</v>
      </c>
      <c r="B72" s="118">
        <f>IF(AND(E72="",I72="",AE72="",AG72=""),"",SUM(E72,I72,AE72,AG72))</f>
        <v/>
      </c>
      <c r="C72" s="119" t="n"/>
      <c r="D72" s="84" t="n"/>
      <c r="E72" s="84">
        <f>IF(D72="","",D72*C72)</f>
        <v/>
      </c>
      <c r="F72" s="120">
        <f>IF(B72="","",E72/B72)</f>
        <v/>
      </c>
      <c r="G72" s="127" t="n"/>
      <c r="I72" s="84">
        <f>IF(H72="","",H72*G72)</f>
        <v/>
      </c>
      <c r="J72" s="120">
        <f>IF(B72="","",I72/B72)</f>
        <v/>
      </c>
      <c r="K72" s="121">
        <f>IF(B72="","",F72+J72*3)</f>
        <v/>
      </c>
      <c r="O72" s="122" t="n"/>
      <c r="P72" s="83" t="n"/>
      <c r="Q72" s="83" t="n"/>
      <c r="R72" s="83" t="n"/>
      <c r="V72" s="123">
        <f>IF(OR(B72="",B71=""),"",B72/B71-1)</f>
        <v/>
      </c>
      <c r="W72" s="79">
        <f>IF(B72="","",B72/$B$3-1)</f>
        <v/>
      </c>
      <c r="X72" s="78">
        <f>IF(B72="","",MAX($B$3:B72))</f>
        <v/>
      </c>
      <c r="Y72" s="79">
        <f>IF(OR(B72="",X72=""),"",B72/X72-1)</f>
        <v/>
      </c>
      <c r="Z72" s="78">
        <f>IF(D72="","",$B$3*D72/$D$3)</f>
        <v/>
      </c>
      <c r="AA72" s="79">
        <f>IF(D72="","",D72/$D$3-1)</f>
        <v/>
      </c>
      <c r="AB72" s="79">
        <f>IF(OR(W72="",AA72=""),"",W72-AA72)</f>
        <v/>
      </c>
      <c r="AC72" s="124" t="n"/>
      <c r="AD72" s="125" t="n"/>
      <c r="AE72" s="78">
        <f>IF(AD72="","",AC72*AD72)</f>
        <v/>
      </c>
      <c r="AF72" s="79">
        <f>IF(OR(AE72="",B72="",B72=0),"",AE72/B72)</f>
        <v/>
      </c>
      <c r="AG72" s="125" t="n"/>
      <c r="AH72" s="126" t="n"/>
      <c r="AI72" s="126" t="n"/>
      <c r="AJ72" s="126" t="n"/>
    </row>
    <row r="73" ht="15.75" customHeight="1" s="68">
      <c r="A73" s="117" t="n">
        <v>46336</v>
      </c>
      <c r="B73" s="118">
        <f>IF(AND(E73="",I73="",AE73="",AG73=""),"",SUM(E73,I73,AE73,AG73))</f>
        <v/>
      </c>
      <c r="C73" s="119" t="n"/>
      <c r="D73" s="84" t="n"/>
      <c r="E73" s="84">
        <f>IF(D73="","",D73*C73)</f>
        <v/>
      </c>
      <c r="F73" s="120">
        <f>IF(B73="","",E73/B73)</f>
        <v/>
      </c>
      <c r="G73" s="127" t="n"/>
      <c r="I73" s="84">
        <f>IF(H73="","",H73*G73)</f>
        <v/>
      </c>
      <c r="J73" s="120">
        <f>IF(B73="","",I73/B73)</f>
        <v/>
      </c>
      <c r="K73" s="121">
        <f>IF(B73="","",F73+J73*3)</f>
        <v/>
      </c>
      <c r="O73" s="122" t="n"/>
      <c r="P73" s="83" t="n"/>
      <c r="Q73" s="83" t="n"/>
      <c r="R73" s="83" t="n"/>
      <c r="V73" s="123">
        <f>IF(OR(B73="",B72=""),"",B73/B72-1)</f>
        <v/>
      </c>
      <c r="W73" s="79">
        <f>IF(B73="","",B73/$B$3-1)</f>
        <v/>
      </c>
      <c r="X73" s="78">
        <f>IF(B73="","",MAX($B$3:B73))</f>
        <v/>
      </c>
      <c r="Y73" s="79">
        <f>IF(OR(B73="",X73=""),"",B73/X73-1)</f>
        <v/>
      </c>
      <c r="Z73" s="78">
        <f>IF(D73="","",$B$3*D73/$D$3)</f>
        <v/>
      </c>
      <c r="AA73" s="79">
        <f>IF(D73="","",D73/$D$3-1)</f>
        <v/>
      </c>
      <c r="AB73" s="79">
        <f>IF(OR(W73="",AA73=""),"",W73-AA73)</f>
        <v/>
      </c>
      <c r="AC73" s="124" t="n"/>
      <c r="AD73" s="125" t="n"/>
      <c r="AE73" s="78">
        <f>IF(AD73="","",AC73*AD73)</f>
        <v/>
      </c>
      <c r="AF73" s="79">
        <f>IF(OR(AE73="",B73="",B73=0),"",AE73/B73)</f>
        <v/>
      </c>
      <c r="AG73" s="125" t="n"/>
      <c r="AH73" s="126" t="n"/>
      <c r="AI73" s="126" t="n"/>
      <c r="AJ73" s="126" t="n"/>
    </row>
    <row r="74" ht="15.75" customHeight="1" s="68">
      <c r="A74" s="117" t="n">
        <v>46337</v>
      </c>
      <c r="B74" s="118">
        <f>IF(AND(E74="",I74="",AE74="",AG74=""),"",SUM(E74,I74,AE74,AG74))</f>
        <v/>
      </c>
      <c r="C74" s="119" t="n"/>
      <c r="D74" s="84" t="n"/>
      <c r="E74" s="84">
        <f>IF(D74="","",D74*C74)</f>
        <v/>
      </c>
      <c r="F74" s="120">
        <f>IF(B74="","",E74/B74)</f>
        <v/>
      </c>
      <c r="G74" s="127" t="n"/>
      <c r="I74" s="84">
        <f>IF(H74="","",H74*G74)</f>
        <v/>
      </c>
      <c r="J74" s="120">
        <f>IF(B74="","",I74/B74)</f>
        <v/>
      </c>
      <c r="K74" s="121">
        <f>IF(B74="","",F74+J74*3)</f>
        <v/>
      </c>
      <c r="O74" s="122" t="n"/>
      <c r="P74" s="83" t="n"/>
      <c r="V74" s="123">
        <f>IF(OR(B74="",B73=""),"",B74/B73-1)</f>
        <v/>
      </c>
      <c r="W74" s="79">
        <f>IF(B74="","",B74/$B$3-1)</f>
        <v/>
      </c>
      <c r="X74" s="78">
        <f>IF(B74="","",MAX($B$3:B74))</f>
        <v/>
      </c>
      <c r="Y74" s="79">
        <f>IF(OR(B74="",X74=""),"",B74/X74-1)</f>
        <v/>
      </c>
      <c r="Z74" s="78">
        <f>IF(D74="","",$B$3*D74/$D$3)</f>
        <v/>
      </c>
      <c r="AA74" s="79">
        <f>IF(D74="","",D74/$D$3-1)</f>
        <v/>
      </c>
      <c r="AB74" s="79">
        <f>IF(OR(W74="",AA74=""),"",W74-AA74)</f>
        <v/>
      </c>
      <c r="AC74" s="124" t="n"/>
      <c r="AD74" s="125" t="n"/>
      <c r="AE74" s="78">
        <f>IF(AD74="","",AC74*AD74)</f>
        <v/>
      </c>
      <c r="AF74" s="79">
        <f>IF(OR(AE74="",B74="",B74=0),"",AE74/B74)</f>
        <v/>
      </c>
      <c r="AG74" s="125" t="n"/>
      <c r="AH74" s="126" t="n"/>
      <c r="AI74" s="126" t="n"/>
      <c r="AJ74" s="126" t="n"/>
    </row>
    <row r="75" ht="15.75" customHeight="1" s="68">
      <c r="A75" s="117" t="n">
        <v>46338</v>
      </c>
      <c r="B75" s="118">
        <f>IF(AND(E75="",I75="",AE75="",AG75=""),"",SUM(E75,I75,AE75,AG75))</f>
        <v/>
      </c>
      <c r="C75" s="119" t="n"/>
      <c r="D75" s="84" t="n"/>
      <c r="E75" s="84">
        <f>IF(D75="","",D75*C75)</f>
        <v/>
      </c>
      <c r="F75" s="120">
        <f>IF(B75="","",E75/B75)</f>
        <v/>
      </c>
      <c r="G75" s="127" t="n"/>
      <c r="I75" s="84">
        <f>IF(H75="","",H75*G75)</f>
        <v/>
      </c>
      <c r="J75" s="120">
        <f>IF(B75="","",I75/B75)</f>
        <v/>
      </c>
      <c r="K75" s="121">
        <f>IF(B75="","",F75+J75*3)</f>
        <v/>
      </c>
      <c r="O75" s="122" t="n"/>
      <c r="P75" s="83" t="n"/>
      <c r="V75" s="123">
        <f>IF(OR(B75="",B74=""),"",B75/B74-1)</f>
        <v/>
      </c>
      <c r="W75" s="79">
        <f>IF(B75="","",B75/$B$3-1)</f>
        <v/>
      </c>
      <c r="X75" s="78">
        <f>IF(B75="","",MAX($B$3:B75))</f>
        <v/>
      </c>
      <c r="Y75" s="79">
        <f>IF(OR(B75="",X75=""),"",B75/X75-1)</f>
        <v/>
      </c>
      <c r="Z75" s="78">
        <f>IF(D75="","",$B$3*D75/$D$3)</f>
        <v/>
      </c>
      <c r="AA75" s="79">
        <f>IF(D75="","",D75/$D$3-1)</f>
        <v/>
      </c>
      <c r="AB75" s="79">
        <f>IF(OR(W75="",AA75=""),"",W75-AA75)</f>
        <v/>
      </c>
      <c r="AC75" s="124" t="n"/>
      <c r="AD75" s="125" t="n"/>
      <c r="AE75" s="78">
        <f>IF(AD75="","",AC75*AD75)</f>
        <v/>
      </c>
      <c r="AF75" s="79">
        <f>IF(OR(AE75="",B75="",B75=0),"",AE75/B75)</f>
        <v/>
      </c>
      <c r="AG75" s="125" t="n"/>
      <c r="AH75" s="126" t="n"/>
      <c r="AI75" s="126" t="n"/>
      <c r="AJ75" s="126" t="n"/>
    </row>
    <row r="76" ht="15.75" customHeight="1" s="68">
      <c r="A76" s="117" t="n">
        <v>46339</v>
      </c>
      <c r="B76" s="118">
        <f>IF(AND(E76="",I76="",AE76="",AG76=""),"",SUM(E76,I76,AE76,AG76))</f>
        <v/>
      </c>
      <c r="C76" s="119" t="n"/>
      <c r="D76" s="84" t="n"/>
      <c r="E76" s="84">
        <f>IF(D76="","",D76*C76)</f>
        <v/>
      </c>
      <c r="F76" s="120">
        <f>IF(B76="","",E76/B76)</f>
        <v/>
      </c>
      <c r="G76" s="127" t="n"/>
      <c r="I76" s="84">
        <f>IF(H76="","",H76*G76)</f>
        <v/>
      </c>
      <c r="J76" s="120">
        <f>IF(B76="","",I76/B76)</f>
        <v/>
      </c>
      <c r="K76" s="121">
        <f>IF(B76="","",F76+J76*3)</f>
        <v/>
      </c>
      <c r="O76" s="122" t="n"/>
      <c r="P76" s="83" t="n"/>
      <c r="V76" s="123">
        <f>IF(OR(B76="",B75=""),"",B76/B75-1)</f>
        <v/>
      </c>
      <c r="W76" s="79">
        <f>IF(B76="","",B76/$B$3-1)</f>
        <v/>
      </c>
      <c r="X76" s="78">
        <f>IF(B76="","",MAX($B$3:B76))</f>
        <v/>
      </c>
      <c r="Y76" s="79">
        <f>IF(OR(B76="",X76=""),"",B76/X76-1)</f>
        <v/>
      </c>
      <c r="Z76" s="78">
        <f>IF(D76="","",$B$3*D76/$D$3)</f>
        <v/>
      </c>
      <c r="AA76" s="79">
        <f>IF(D76="","",D76/$D$3-1)</f>
        <v/>
      </c>
      <c r="AB76" s="79">
        <f>IF(OR(W76="",AA76=""),"",W76-AA76)</f>
        <v/>
      </c>
      <c r="AC76" s="124" t="n"/>
      <c r="AD76" s="125" t="n"/>
      <c r="AE76" s="78">
        <f>IF(AD76="","",AC76*AD76)</f>
        <v/>
      </c>
      <c r="AF76" s="79">
        <f>IF(OR(AE76="",B76="",B76=0),"",AE76/B76)</f>
        <v/>
      </c>
      <c r="AG76" s="125" t="n"/>
      <c r="AH76" s="126" t="n"/>
      <c r="AI76" s="126" t="n"/>
      <c r="AJ76" s="126" t="n"/>
    </row>
    <row r="77" ht="15.75" customHeight="1" s="68">
      <c r="A77" s="117" t="n">
        <v>46342</v>
      </c>
      <c r="B77" s="118">
        <f>IF(AND(E77="",I77="",AE77="",AG77=""),"",SUM(E77,I77,AE77,AG77))</f>
        <v/>
      </c>
      <c r="C77" s="119" t="n"/>
      <c r="D77" s="84" t="n"/>
      <c r="E77" s="84">
        <f>IF(D77="","",D77*C77)</f>
        <v/>
      </c>
      <c r="F77" s="120">
        <f>IF(B77="","",E77/B77)</f>
        <v/>
      </c>
      <c r="G77" s="127" t="n"/>
      <c r="I77" s="84">
        <f>IF(H77="","",H77*G77)</f>
        <v/>
      </c>
      <c r="J77" s="120">
        <f>IF(B77="","",I77/B77)</f>
        <v/>
      </c>
      <c r="K77" s="121">
        <f>IF(B77="","",F77+J77*3)</f>
        <v/>
      </c>
      <c r="O77" s="122" t="n"/>
      <c r="P77" s="83" t="n"/>
      <c r="V77" s="123">
        <f>IF(OR(B77="",B76=""),"",B77/B76-1)</f>
        <v/>
      </c>
      <c r="W77" s="79">
        <f>IF(B77="","",B77/$B$3-1)</f>
        <v/>
      </c>
      <c r="X77" s="78">
        <f>IF(B77="","",MAX($B$3:B77))</f>
        <v/>
      </c>
      <c r="Y77" s="79">
        <f>IF(OR(B77="",X77=""),"",B77/X77-1)</f>
        <v/>
      </c>
      <c r="Z77" s="78">
        <f>IF(D77="","",$B$3*D77/$D$3)</f>
        <v/>
      </c>
      <c r="AA77" s="79">
        <f>IF(D77="","",D77/$D$3-1)</f>
        <v/>
      </c>
      <c r="AB77" s="79">
        <f>IF(OR(W77="",AA77=""),"",W77-AA77)</f>
        <v/>
      </c>
      <c r="AC77" s="124" t="n"/>
      <c r="AD77" s="125" t="n"/>
      <c r="AE77" s="78">
        <f>IF(AD77="","",AC77*AD77)</f>
        <v/>
      </c>
      <c r="AF77" s="79">
        <f>IF(OR(AE77="",B77="",B77=0),"",AE77/B77)</f>
        <v/>
      </c>
      <c r="AG77" s="125" t="n"/>
      <c r="AH77" s="126" t="n"/>
      <c r="AI77" s="126" t="n"/>
      <c r="AJ77" s="126" t="n"/>
    </row>
    <row r="78" ht="15.75" customHeight="1" s="68">
      <c r="A78" s="117" t="n">
        <v>46343</v>
      </c>
      <c r="B78" s="118">
        <f>IF(AND(E78="",I78="",AE78="",AG78=""),"",SUM(E78,I78,AE78,AG78))</f>
        <v/>
      </c>
      <c r="C78" s="119" t="n"/>
      <c r="D78" s="84" t="n"/>
      <c r="E78" s="84">
        <f>IF(D78="","",D78*C78)</f>
        <v/>
      </c>
      <c r="F78" s="120">
        <f>IF(B78="","",E78/B78)</f>
        <v/>
      </c>
      <c r="G78" s="127" t="n"/>
      <c r="I78" s="84">
        <f>IF(H78="","",H78*G78)</f>
        <v/>
      </c>
      <c r="J78" s="120">
        <f>IF(B78="","",I78/B78)</f>
        <v/>
      </c>
      <c r="K78" s="121">
        <f>IF(B78="","",F78+J78*3)</f>
        <v/>
      </c>
      <c r="O78" s="122" t="n"/>
      <c r="P78" s="83" t="n"/>
      <c r="V78" s="123">
        <f>IF(OR(B78="",B77=""),"",B78/B77-1)</f>
        <v/>
      </c>
      <c r="W78" s="79">
        <f>IF(B78="","",B78/$B$3-1)</f>
        <v/>
      </c>
      <c r="X78" s="78">
        <f>IF(B78="","",MAX($B$3:B78))</f>
        <v/>
      </c>
      <c r="Y78" s="79">
        <f>IF(OR(B78="",X78=""),"",B78/X78-1)</f>
        <v/>
      </c>
      <c r="Z78" s="78">
        <f>IF(D78="","",$B$3*D78/$D$3)</f>
        <v/>
      </c>
      <c r="AA78" s="79">
        <f>IF(D78="","",D78/$D$3-1)</f>
        <v/>
      </c>
      <c r="AB78" s="79">
        <f>IF(OR(W78="",AA78=""),"",W78-AA78)</f>
        <v/>
      </c>
      <c r="AC78" s="124" t="n"/>
      <c r="AD78" s="125" t="n"/>
      <c r="AE78" s="78">
        <f>IF(AD78="","",AC78*AD78)</f>
        <v/>
      </c>
      <c r="AF78" s="79">
        <f>IF(OR(AE78="",B78="",B78=0),"",AE78/B78)</f>
        <v/>
      </c>
      <c r="AG78" s="125" t="n"/>
      <c r="AH78" s="126" t="n"/>
      <c r="AI78" s="126" t="n"/>
      <c r="AJ78" s="126" t="n"/>
    </row>
    <row r="79" ht="15.75" customHeight="1" s="68">
      <c r="A79" s="117" t="n">
        <v>46344</v>
      </c>
      <c r="B79" s="118">
        <f>IF(AND(E79="",I79="",AE79="",AG79=""),"",SUM(E79,I79,AE79,AG79))</f>
        <v/>
      </c>
      <c r="C79" s="119" t="n"/>
      <c r="D79" s="84" t="n"/>
      <c r="E79" s="84">
        <f>IF(D79="","",D79*C79)</f>
        <v/>
      </c>
      <c r="F79" s="120">
        <f>IF(B79="","",E79/B79)</f>
        <v/>
      </c>
      <c r="G79" s="127" t="n"/>
      <c r="I79" s="84">
        <f>IF(H79="","",H79*G79)</f>
        <v/>
      </c>
      <c r="J79" s="120">
        <f>IF(B79="","",I79/B79)</f>
        <v/>
      </c>
      <c r="K79" s="121">
        <f>IF(B79="","",F79+J79*3)</f>
        <v/>
      </c>
      <c r="O79" s="122" t="n"/>
      <c r="P79" s="83" t="n"/>
      <c r="V79" s="123">
        <f>IF(OR(B79="",B78=""),"",B79/B78-1)</f>
        <v/>
      </c>
      <c r="W79" s="79">
        <f>IF(B79="","",B79/$B$3-1)</f>
        <v/>
      </c>
      <c r="X79" s="78">
        <f>IF(B79="","",MAX($B$3:B79))</f>
        <v/>
      </c>
      <c r="Y79" s="79">
        <f>IF(OR(B79="",X79=""),"",B79/X79-1)</f>
        <v/>
      </c>
      <c r="Z79" s="78">
        <f>IF(D79="","",$B$3*D79/$D$3)</f>
        <v/>
      </c>
      <c r="AA79" s="79">
        <f>IF(D79="","",D79/$D$3-1)</f>
        <v/>
      </c>
      <c r="AB79" s="79">
        <f>IF(OR(W79="",AA79=""),"",W79-AA79)</f>
        <v/>
      </c>
      <c r="AC79" s="124" t="n"/>
      <c r="AD79" s="125" t="n"/>
      <c r="AE79" s="78">
        <f>IF(AD79="","",AC79*AD79)</f>
        <v/>
      </c>
      <c r="AF79" s="79">
        <f>IF(OR(AE79="",B79="",B79=0),"",AE79/B79)</f>
        <v/>
      </c>
      <c r="AG79" s="125" t="n"/>
      <c r="AH79" s="126" t="n"/>
      <c r="AI79" s="126" t="n"/>
      <c r="AJ79" s="126" t="n"/>
    </row>
    <row r="80" ht="15.75" customHeight="1" s="68">
      <c r="A80" s="117" t="n">
        <v>46345</v>
      </c>
      <c r="B80" s="118">
        <f>IF(AND(E80="",I80="",AE80="",AG80=""),"",SUM(E80,I80,AE80,AG80))</f>
        <v/>
      </c>
      <c r="C80" s="119" t="n"/>
      <c r="D80" s="84" t="n"/>
      <c r="E80" s="84">
        <f>IF(D80="","",D80*C80)</f>
        <v/>
      </c>
      <c r="F80" s="120">
        <f>IF(B80="","",E80/B80)</f>
        <v/>
      </c>
      <c r="G80" s="127" t="n"/>
      <c r="I80" s="84">
        <f>IF(H80="","",H80*G80)</f>
        <v/>
      </c>
      <c r="J80" s="120">
        <f>IF(B80="","",I80/B80)</f>
        <v/>
      </c>
      <c r="K80" s="121">
        <f>IF(B80="","",F80+J80*3)</f>
        <v/>
      </c>
      <c r="O80" s="122" t="n"/>
      <c r="P80" s="83" t="n"/>
      <c r="V80" s="123">
        <f>IF(OR(B80="",B79=""),"",B80/B79-1)</f>
        <v/>
      </c>
      <c r="W80" s="79">
        <f>IF(B80="","",B80/$B$3-1)</f>
        <v/>
      </c>
      <c r="X80" s="78">
        <f>IF(B80="","",MAX($B$3:B80))</f>
        <v/>
      </c>
      <c r="Y80" s="79">
        <f>IF(OR(B80="",X80=""),"",B80/X80-1)</f>
        <v/>
      </c>
      <c r="Z80" s="78">
        <f>IF(D80="","",$B$3*D80/$D$3)</f>
        <v/>
      </c>
      <c r="AA80" s="79">
        <f>IF(D80="","",D80/$D$3-1)</f>
        <v/>
      </c>
      <c r="AB80" s="79">
        <f>IF(OR(W80="",AA80=""),"",W80-AA80)</f>
        <v/>
      </c>
      <c r="AC80" s="124" t="n"/>
      <c r="AD80" s="125" t="n"/>
      <c r="AE80" s="78">
        <f>IF(AD80="","",AC80*AD80)</f>
        <v/>
      </c>
      <c r="AF80" s="79">
        <f>IF(OR(AE80="",B80="",B80=0),"",AE80/B80)</f>
        <v/>
      </c>
      <c r="AG80" s="125" t="n"/>
      <c r="AH80" s="126" t="n"/>
      <c r="AI80" s="126" t="n"/>
      <c r="AJ80" s="126" t="n"/>
    </row>
    <row r="81" ht="15.75" customHeight="1" s="68">
      <c r="A81" s="117" t="n">
        <v>46346</v>
      </c>
      <c r="B81" s="118">
        <f>IF(AND(E81="",I81="",AE81="",AG81=""),"",SUM(E81,I81,AE81,AG81))</f>
        <v/>
      </c>
      <c r="C81" s="119" t="n"/>
      <c r="D81" s="84" t="n"/>
      <c r="E81" s="84">
        <f>IF(D81="","",D81*C81)</f>
        <v/>
      </c>
      <c r="F81" s="120">
        <f>IF(B81="","",E81/B81)</f>
        <v/>
      </c>
      <c r="G81" s="127" t="n"/>
      <c r="I81" s="84">
        <f>IF(H81="","",H81*G81)</f>
        <v/>
      </c>
      <c r="J81" s="120">
        <f>IF(B81="","",I81/B81)</f>
        <v/>
      </c>
      <c r="K81" s="121">
        <f>IF(B81="","",F81+J81*3)</f>
        <v/>
      </c>
      <c r="O81" s="122" t="n"/>
      <c r="P81" s="83" t="n"/>
      <c r="V81" s="123">
        <f>IF(OR(B81="",B80=""),"",B81/B80-1)</f>
        <v/>
      </c>
      <c r="W81" s="79">
        <f>IF(B81="","",B81/$B$3-1)</f>
        <v/>
      </c>
      <c r="X81" s="78">
        <f>IF(B81="","",MAX($B$3:B81))</f>
        <v/>
      </c>
      <c r="Y81" s="79">
        <f>IF(OR(B81="",X81=""),"",B81/X81-1)</f>
        <v/>
      </c>
      <c r="Z81" s="78">
        <f>IF(D81="","",$B$3*D81/$D$3)</f>
        <v/>
      </c>
      <c r="AA81" s="79">
        <f>IF(D81="","",D81/$D$3-1)</f>
        <v/>
      </c>
      <c r="AB81" s="79">
        <f>IF(OR(W81="",AA81=""),"",W81-AA81)</f>
        <v/>
      </c>
      <c r="AC81" s="124" t="n"/>
      <c r="AD81" s="125" t="n"/>
      <c r="AE81" s="78">
        <f>IF(AD81="","",AC81*AD81)</f>
        <v/>
      </c>
      <c r="AF81" s="79">
        <f>IF(OR(AE81="",B81="",B81=0),"",AE81/B81)</f>
        <v/>
      </c>
      <c r="AG81" s="125" t="n"/>
      <c r="AH81" s="126" t="n"/>
      <c r="AI81" s="126" t="n"/>
      <c r="AJ81" s="126" t="n"/>
    </row>
    <row r="82" ht="15.75" customHeight="1" s="68">
      <c r="A82" s="117" t="n">
        <v>46349</v>
      </c>
      <c r="B82" s="118">
        <f>IF(AND(E82="",I82="",AE82="",AG82=""),"",SUM(E82,I82,AE82,AG82))</f>
        <v/>
      </c>
      <c r="C82" s="119" t="n"/>
      <c r="D82" s="84" t="n"/>
      <c r="E82" s="84">
        <f>IF(D82="","",D82*C82)</f>
        <v/>
      </c>
      <c r="F82" s="120">
        <f>IF(B82="","",E82/B82)</f>
        <v/>
      </c>
      <c r="G82" s="127" t="n"/>
      <c r="I82" s="84">
        <f>IF(H82="","",H82*G82)</f>
        <v/>
      </c>
      <c r="J82" s="120">
        <f>IF(B82="","",I82/B82)</f>
        <v/>
      </c>
      <c r="K82" s="121">
        <f>IF(B82="","",F82+J82*3)</f>
        <v/>
      </c>
      <c r="O82" s="122" t="n"/>
      <c r="P82" s="83" t="n"/>
      <c r="V82" s="123">
        <f>IF(OR(B82="",B81=""),"",B82/B81-1)</f>
        <v/>
      </c>
      <c r="W82" s="79">
        <f>IF(B82="","",B82/$B$3-1)</f>
        <v/>
      </c>
      <c r="X82" s="78">
        <f>IF(B82="","",MAX($B$3:B82))</f>
        <v/>
      </c>
      <c r="Y82" s="79">
        <f>IF(OR(B82="",X82=""),"",B82/X82-1)</f>
        <v/>
      </c>
      <c r="Z82" s="78">
        <f>IF(D82="","",$B$3*D82/$D$3)</f>
        <v/>
      </c>
      <c r="AA82" s="79">
        <f>IF(D82="","",D82/$D$3-1)</f>
        <v/>
      </c>
      <c r="AB82" s="79">
        <f>IF(OR(W82="",AA82=""),"",W82-AA82)</f>
        <v/>
      </c>
      <c r="AC82" s="124" t="n"/>
      <c r="AD82" s="125" t="n"/>
      <c r="AE82" s="78">
        <f>IF(AD82="","",AC82*AD82)</f>
        <v/>
      </c>
      <c r="AF82" s="79">
        <f>IF(OR(AE82="",B82="",B82=0),"",AE82/B82)</f>
        <v/>
      </c>
      <c r="AG82" s="125" t="n"/>
      <c r="AH82" s="126" t="n"/>
      <c r="AI82" s="126" t="n"/>
      <c r="AJ82" s="126" t="n"/>
    </row>
    <row r="83" ht="15.75" customHeight="1" s="68">
      <c r="A83" s="117" t="n">
        <v>46350</v>
      </c>
      <c r="B83" s="118">
        <f>IF(AND(E83="",I83="",AE83="",AG83=""),"",SUM(E83,I83,AE83,AG83))</f>
        <v/>
      </c>
      <c r="C83" s="119" t="n"/>
      <c r="D83" s="84" t="n"/>
      <c r="E83" s="84">
        <f>IF(D83="","",D83*C83)</f>
        <v/>
      </c>
      <c r="F83" s="120">
        <f>IF(B83="","",E83/B83)</f>
        <v/>
      </c>
      <c r="G83" s="127" t="n"/>
      <c r="I83" s="84">
        <f>IF(H83="","",H83*G83)</f>
        <v/>
      </c>
      <c r="J83" s="120">
        <f>IF(B83="","",I83/B83)</f>
        <v/>
      </c>
      <c r="K83" s="121">
        <f>IF(B83="","",F83+J83*3)</f>
        <v/>
      </c>
      <c r="O83" s="122" t="n"/>
      <c r="P83" s="83" t="n"/>
      <c r="V83" s="123">
        <f>IF(OR(B83="",B82=""),"",B83/B82-1)</f>
        <v/>
      </c>
      <c r="W83" s="79">
        <f>IF(B83="","",B83/$B$3-1)</f>
        <v/>
      </c>
      <c r="X83" s="78">
        <f>IF(B83="","",MAX($B$3:B83))</f>
        <v/>
      </c>
      <c r="Y83" s="79">
        <f>IF(OR(B83="",X83=""),"",B83/X83-1)</f>
        <v/>
      </c>
      <c r="Z83" s="78">
        <f>IF(D83="","",$B$3*D83/$D$3)</f>
        <v/>
      </c>
      <c r="AA83" s="79">
        <f>IF(D83="","",D83/$D$3-1)</f>
        <v/>
      </c>
      <c r="AB83" s="79">
        <f>IF(OR(W83="",AA83=""),"",W83-AA83)</f>
        <v/>
      </c>
      <c r="AC83" s="124" t="n"/>
      <c r="AD83" s="125" t="n"/>
      <c r="AE83" s="78">
        <f>IF(AD83="","",AC83*AD83)</f>
        <v/>
      </c>
      <c r="AF83" s="79">
        <f>IF(OR(AE83="",B83="",B83=0),"",AE83/B83)</f>
        <v/>
      </c>
      <c r="AG83" s="125" t="n"/>
      <c r="AH83" s="126" t="n"/>
      <c r="AI83" s="126" t="n"/>
      <c r="AJ83" s="126" t="n"/>
    </row>
    <row r="84" ht="15.75" customHeight="1" s="68">
      <c r="A84" s="117" t="n">
        <v>46351</v>
      </c>
      <c r="B84" s="118">
        <f>IF(AND(E84="",I84="",AE84="",AG84=""),"",SUM(E84,I84,AE84,AG84))</f>
        <v/>
      </c>
      <c r="C84" s="119" t="n"/>
      <c r="D84" s="84" t="n"/>
      <c r="E84" s="84">
        <f>IF(D84="","",D84*C84)</f>
        <v/>
      </c>
      <c r="F84" s="120">
        <f>IF(B84="","",E84/B84)</f>
        <v/>
      </c>
      <c r="G84" s="127" t="n"/>
      <c r="I84" s="84">
        <f>IF(H84="","",H84*G84)</f>
        <v/>
      </c>
      <c r="J84" s="120">
        <f>IF(B84="","",I84/B84)</f>
        <v/>
      </c>
      <c r="K84" s="121">
        <f>IF(B84="","",F84+J84*3)</f>
        <v/>
      </c>
      <c r="O84" s="122" t="n"/>
      <c r="P84" s="83" t="n"/>
      <c r="V84" s="123">
        <f>IF(OR(B84="",B83=""),"",B84/B83-1)</f>
        <v/>
      </c>
      <c r="W84" s="79">
        <f>IF(B84="","",B84/$B$3-1)</f>
        <v/>
      </c>
      <c r="X84" s="78">
        <f>IF(B84="","",MAX($B$3:B84))</f>
        <v/>
      </c>
      <c r="Y84" s="79">
        <f>IF(OR(B84="",X84=""),"",B84/X84-1)</f>
        <v/>
      </c>
      <c r="Z84" s="78">
        <f>IF(D84="","",$B$3*D84/$D$3)</f>
        <v/>
      </c>
      <c r="AA84" s="79">
        <f>IF(D84="","",D84/$D$3-1)</f>
        <v/>
      </c>
      <c r="AB84" s="79">
        <f>IF(OR(W84="",AA84=""),"",W84-AA84)</f>
        <v/>
      </c>
      <c r="AC84" s="124" t="n"/>
      <c r="AD84" s="125" t="n"/>
      <c r="AE84" s="78">
        <f>IF(AD84="","",AC84*AD84)</f>
        <v/>
      </c>
      <c r="AF84" s="79">
        <f>IF(OR(AE84="",B84="",B84=0),"",AE84/B84)</f>
        <v/>
      </c>
      <c r="AG84" s="125" t="n"/>
      <c r="AH84" s="126" t="n"/>
      <c r="AI84" s="126" t="n"/>
      <c r="AJ84" s="126" t="n"/>
    </row>
    <row r="85" ht="15.75" customHeight="1" s="68">
      <c r="A85" s="117" t="n">
        <v>46353</v>
      </c>
      <c r="B85" s="118">
        <f>IF(AND(E85="",I85="",AE85="",AG85=""),"",SUM(E85,I85,AE85,AG85))</f>
        <v/>
      </c>
      <c r="C85" s="119" t="n"/>
      <c r="D85" s="84" t="n"/>
      <c r="E85" s="84">
        <f>IF(D85="","",D85*C85)</f>
        <v/>
      </c>
      <c r="F85" s="120">
        <f>IF(B85="","",E85/B85)</f>
        <v/>
      </c>
      <c r="G85" s="127" t="n"/>
      <c r="I85" s="84">
        <f>IF(H85="","",H85*G85)</f>
        <v/>
      </c>
      <c r="J85" s="120">
        <f>IF(B85="","",I85/B85)</f>
        <v/>
      </c>
      <c r="K85" s="121">
        <f>IF(B85="","",F85+J85*3)</f>
        <v/>
      </c>
      <c r="O85" s="122" t="n"/>
      <c r="P85" s="83" t="n"/>
      <c r="V85" s="123">
        <f>IF(OR(B85="",B84=""),"",B85/B84-1)</f>
        <v/>
      </c>
      <c r="W85" s="79">
        <f>IF(B85="","",B85/$B$3-1)</f>
        <v/>
      </c>
      <c r="X85" s="78">
        <f>IF(B85="","",MAX($B$3:B85))</f>
        <v/>
      </c>
      <c r="Y85" s="79">
        <f>IF(OR(B85="",X85=""),"",B85/X85-1)</f>
        <v/>
      </c>
      <c r="Z85" s="78">
        <f>IF(D85="","",$B$3*D85/$D$3)</f>
        <v/>
      </c>
      <c r="AA85" s="79">
        <f>IF(D85="","",D85/$D$3-1)</f>
        <v/>
      </c>
      <c r="AB85" s="79">
        <f>IF(OR(W85="",AA85=""),"",W85-AA85)</f>
        <v/>
      </c>
      <c r="AC85" s="124" t="n"/>
      <c r="AD85" s="125" t="n"/>
      <c r="AE85" s="78">
        <f>IF(AD85="","",AC85*AD85)</f>
        <v/>
      </c>
      <c r="AF85" s="79">
        <f>IF(OR(AE85="",B85="",B85=0),"",AE85/B85)</f>
        <v/>
      </c>
      <c r="AG85" s="125" t="n"/>
      <c r="AH85" s="126" t="n"/>
      <c r="AI85" s="126" t="n"/>
      <c r="AJ85" s="126" t="n"/>
    </row>
    <row r="86" ht="15.75" customHeight="1" s="68">
      <c r="A86" s="117" t="n">
        <v>46356</v>
      </c>
      <c r="B86" s="118">
        <f>IF(AND(E86="",I86="",AE86="",AG86=""),"",SUM(E86,I86,AE86,AG86))</f>
        <v/>
      </c>
      <c r="C86" s="119" t="n"/>
      <c r="D86" s="84" t="n"/>
      <c r="E86" s="84">
        <f>IF(D86="","",D86*C86)</f>
        <v/>
      </c>
      <c r="F86" s="120">
        <f>IF(B86="","",E86/B86)</f>
        <v/>
      </c>
      <c r="G86" s="127" t="n"/>
      <c r="I86" s="84">
        <f>IF(H86="","",H86*G86)</f>
        <v/>
      </c>
      <c r="J86" s="120">
        <f>IF(B86="","",I86/B86)</f>
        <v/>
      </c>
      <c r="K86" s="121">
        <f>IF(B86="","",F86+J86*3)</f>
        <v/>
      </c>
      <c r="O86" s="122" t="n"/>
      <c r="P86" s="83" t="n"/>
      <c r="V86" s="123">
        <f>IF(OR(B86="",B85=""),"",B86/B85-1)</f>
        <v/>
      </c>
      <c r="W86" s="79">
        <f>IF(B86="","",B86/$B$3-1)</f>
        <v/>
      </c>
      <c r="X86" s="78">
        <f>IF(B86="","",MAX($B$3:B86))</f>
        <v/>
      </c>
      <c r="Y86" s="79">
        <f>IF(OR(B86="",X86=""),"",B86/X86-1)</f>
        <v/>
      </c>
      <c r="Z86" s="78">
        <f>IF(D86="","",$B$3*D86/$D$3)</f>
        <v/>
      </c>
      <c r="AA86" s="79">
        <f>IF(D86="","",D86/$D$3-1)</f>
        <v/>
      </c>
      <c r="AB86" s="79">
        <f>IF(OR(W86="",AA86=""),"",W86-AA86)</f>
        <v/>
      </c>
      <c r="AC86" s="124" t="n"/>
      <c r="AD86" s="125" t="n"/>
      <c r="AE86" s="78">
        <f>IF(AD86="","",AC86*AD86)</f>
        <v/>
      </c>
      <c r="AF86" s="79">
        <f>IF(OR(AE86="",B86="",B86=0),"",AE86/B86)</f>
        <v/>
      </c>
      <c r="AG86" s="125" t="n"/>
      <c r="AH86" s="126" t="n"/>
      <c r="AI86" s="126" t="n"/>
      <c r="AJ86" s="126" t="n"/>
    </row>
    <row r="87" ht="15.75" customHeight="1" s="68">
      <c r="A87" s="117" t="n">
        <v>46357</v>
      </c>
      <c r="B87" s="118">
        <f>IF(AND(E87="",I87="",AE87="",AG87=""),"",SUM(E87,I87,AE87,AG87))</f>
        <v/>
      </c>
      <c r="C87" s="119" t="n"/>
      <c r="D87" s="84" t="n"/>
      <c r="E87" s="84">
        <f>IF(D87="","",D87*C87)</f>
        <v/>
      </c>
      <c r="F87" s="120">
        <f>IF(B87="","",E87/B87)</f>
        <v/>
      </c>
      <c r="G87" s="127" t="n"/>
      <c r="I87" s="84">
        <f>IF(H87="","",H87*G87)</f>
        <v/>
      </c>
      <c r="J87" s="120">
        <f>IF(B87="","",I87/B87)</f>
        <v/>
      </c>
      <c r="K87" s="121">
        <f>IF(B87="","",F87+J87*3)</f>
        <v/>
      </c>
      <c r="O87" s="122" t="n"/>
      <c r="P87" s="83" t="n"/>
      <c r="V87" s="123">
        <f>IF(OR(B87="",B86=""),"",B87/B86-1)</f>
        <v/>
      </c>
      <c r="W87" s="79">
        <f>IF(B87="","",B87/$B$3-1)</f>
        <v/>
      </c>
      <c r="X87" s="78">
        <f>IF(B87="","",MAX($B$3:B87))</f>
        <v/>
      </c>
      <c r="Y87" s="79">
        <f>IF(OR(B87="",X87=""),"",B87/X87-1)</f>
        <v/>
      </c>
      <c r="Z87" s="78">
        <f>IF(D87="","",$B$3*D87/$D$3)</f>
        <v/>
      </c>
      <c r="AA87" s="79">
        <f>IF(D87="","",D87/$D$3-1)</f>
        <v/>
      </c>
      <c r="AB87" s="79">
        <f>IF(OR(W87="",AA87=""),"",W87-AA87)</f>
        <v/>
      </c>
      <c r="AC87" s="124" t="n"/>
      <c r="AD87" s="125" t="n"/>
      <c r="AE87" s="78">
        <f>IF(AD87="","",AC87*AD87)</f>
        <v/>
      </c>
      <c r="AF87" s="79">
        <f>IF(OR(AE87="",B87="",B87=0),"",AE87/B87)</f>
        <v/>
      </c>
      <c r="AG87" s="125" t="n"/>
      <c r="AH87" s="126" t="n"/>
      <c r="AI87" s="126" t="n"/>
      <c r="AJ87" s="126" t="n"/>
    </row>
    <row r="88" ht="15.75" customHeight="1" s="68">
      <c r="A88" s="117" t="n">
        <v>46358</v>
      </c>
      <c r="B88" s="118">
        <f>IF(AND(E88="",I88="",AE88="",AG88=""),"",SUM(E88,I88,AE88,AG88))</f>
        <v/>
      </c>
      <c r="C88" s="119" t="n"/>
      <c r="D88" s="84" t="n"/>
      <c r="E88" s="84">
        <f>IF(D88="","",D88*C88)</f>
        <v/>
      </c>
      <c r="F88" s="120">
        <f>IF(B88="","",E88/B88)</f>
        <v/>
      </c>
      <c r="G88" s="127" t="n"/>
      <c r="I88" s="84">
        <f>IF(H88="","",H88*G88)</f>
        <v/>
      </c>
      <c r="J88" s="120">
        <f>IF(B88="","",I88/B88)</f>
        <v/>
      </c>
      <c r="K88" s="121">
        <f>IF(B88="","",F88+J88*3)</f>
        <v/>
      </c>
      <c r="O88" s="122" t="n"/>
      <c r="P88" s="83" t="n"/>
      <c r="V88" s="123">
        <f>IF(OR(B88="",B87=""),"",B88/B87-1)</f>
        <v/>
      </c>
      <c r="W88" s="79">
        <f>IF(B88="","",B88/$B$3-1)</f>
        <v/>
      </c>
      <c r="X88" s="78">
        <f>IF(B88="","",MAX($B$3:B88))</f>
        <v/>
      </c>
      <c r="Y88" s="79">
        <f>IF(OR(B88="",X88=""),"",B88/X88-1)</f>
        <v/>
      </c>
      <c r="Z88" s="78">
        <f>IF(D88="","",$B$3*D88/$D$3)</f>
        <v/>
      </c>
      <c r="AA88" s="79">
        <f>IF(D88="","",D88/$D$3-1)</f>
        <v/>
      </c>
      <c r="AB88" s="79">
        <f>IF(OR(W88="",AA88=""),"",W88-AA88)</f>
        <v/>
      </c>
      <c r="AC88" s="124" t="n"/>
      <c r="AD88" s="125" t="n"/>
      <c r="AE88" s="78">
        <f>IF(AD88="","",AC88*AD88)</f>
        <v/>
      </c>
      <c r="AF88" s="79">
        <f>IF(OR(AE88="",B88="",B88=0),"",AE88/B88)</f>
        <v/>
      </c>
      <c r="AG88" s="125" t="n"/>
      <c r="AH88" s="126" t="n"/>
      <c r="AI88" s="126" t="n"/>
      <c r="AJ88" s="126" t="n"/>
    </row>
    <row r="89" ht="15.75" customHeight="1" s="68">
      <c r="A89" s="117" t="n">
        <v>46359</v>
      </c>
      <c r="B89" s="118">
        <f>IF(AND(E89="",I89="",AE89="",AG89=""),"",SUM(E89,I89,AE89,AG89))</f>
        <v/>
      </c>
      <c r="C89" s="119" t="n"/>
      <c r="D89" s="84" t="n"/>
      <c r="E89" s="84">
        <f>IF(D89="","",D89*C89)</f>
        <v/>
      </c>
      <c r="F89" s="120">
        <f>IF(B89="","",E89/B89)</f>
        <v/>
      </c>
      <c r="G89" s="127" t="n"/>
      <c r="I89" s="84">
        <f>IF(H89="","",H89*G89)</f>
        <v/>
      </c>
      <c r="J89" s="120">
        <f>IF(B89="","",I89/B89)</f>
        <v/>
      </c>
      <c r="K89" s="121">
        <f>IF(B89="","",F89+J89*3)</f>
        <v/>
      </c>
      <c r="O89" s="122" t="n"/>
      <c r="P89" s="83" t="n"/>
      <c r="V89" s="123">
        <f>IF(OR(B89="",B88=""),"",B89/B88-1)</f>
        <v/>
      </c>
      <c r="W89" s="79">
        <f>IF(B89="","",B89/$B$3-1)</f>
        <v/>
      </c>
      <c r="X89" s="78">
        <f>IF(B89="","",MAX($B$3:B89))</f>
        <v/>
      </c>
      <c r="Y89" s="79">
        <f>IF(OR(B89="",X89=""),"",B89/X89-1)</f>
        <v/>
      </c>
      <c r="Z89" s="78">
        <f>IF(D89="","",$B$3*D89/$D$3)</f>
        <v/>
      </c>
      <c r="AA89" s="79">
        <f>IF(D89="","",D89/$D$3-1)</f>
        <v/>
      </c>
      <c r="AB89" s="79">
        <f>IF(OR(W89="",AA89=""),"",W89-AA89)</f>
        <v/>
      </c>
      <c r="AC89" s="124" t="n"/>
      <c r="AD89" s="125" t="n"/>
      <c r="AE89" s="78">
        <f>IF(AD89="","",AC89*AD89)</f>
        <v/>
      </c>
      <c r="AF89" s="79">
        <f>IF(OR(AE89="",B89="",B89=0),"",AE89/B89)</f>
        <v/>
      </c>
      <c r="AG89" s="125" t="n"/>
      <c r="AH89" s="126" t="n"/>
      <c r="AI89" s="126" t="n"/>
      <c r="AJ89" s="126" t="n"/>
    </row>
    <row r="90" ht="15.75" customHeight="1" s="68">
      <c r="A90" s="117" t="n">
        <v>46360</v>
      </c>
      <c r="B90" s="118">
        <f>IF(AND(E90="",I90="",AE90="",AG90=""),"",SUM(E90,I90,AE90,AG90))</f>
        <v/>
      </c>
      <c r="C90" s="119" t="n"/>
      <c r="D90" s="84" t="n"/>
      <c r="E90" s="84">
        <f>IF(D90="","",D90*C90)</f>
        <v/>
      </c>
      <c r="F90" s="120">
        <f>IF(B90="","",E90/B90)</f>
        <v/>
      </c>
      <c r="G90" s="127" t="n"/>
      <c r="I90" s="84">
        <f>IF(H90="","",H90*G90)</f>
        <v/>
      </c>
      <c r="J90" s="120">
        <f>IF(B90="","",I90/B90)</f>
        <v/>
      </c>
      <c r="K90" s="121">
        <f>IF(B90="","",F90+J90*3)</f>
        <v/>
      </c>
      <c r="O90" s="122" t="n"/>
      <c r="P90" s="83" t="n"/>
      <c r="V90" s="123">
        <f>IF(OR(B90="",B89=""),"",B90/B89-1)</f>
        <v/>
      </c>
      <c r="W90" s="79">
        <f>IF(B90="","",B90/$B$3-1)</f>
        <v/>
      </c>
      <c r="X90" s="78">
        <f>IF(B90="","",MAX($B$3:B90))</f>
        <v/>
      </c>
      <c r="Y90" s="79">
        <f>IF(OR(B90="",X90=""),"",B90/X90-1)</f>
        <v/>
      </c>
      <c r="Z90" s="78">
        <f>IF(D90="","",$B$3*D90/$D$3)</f>
        <v/>
      </c>
      <c r="AA90" s="79">
        <f>IF(D90="","",D90/$D$3-1)</f>
        <v/>
      </c>
      <c r="AB90" s="79">
        <f>IF(OR(W90="",AA90=""),"",W90-AA90)</f>
        <v/>
      </c>
      <c r="AC90" s="124" t="n"/>
      <c r="AD90" s="125" t="n"/>
      <c r="AE90" s="78">
        <f>IF(AD90="","",AC90*AD90)</f>
        <v/>
      </c>
      <c r="AF90" s="79">
        <f>IF(OR(AE90="",B90="",B90=0),"",AE90/B90)</f>
        <v/>
      </c>
      <c r="AG90" s="125" t="n"/>
      <c r="AH90" s="126" t="n"/>
      <c r="AI90" s="126" t="n"/>
      <c r="AJ90" s="126" t="n"/>
    </row>
    <row r="91" ht="15.75" customHeight="1" s="68">
      <c r="A91" s="117" t="n">
        <v>46363</v>
      </c>
      <c r="B91" s="118">
        <f>IF(AND(E91="",I91="",AE91="",AG91=""),"",SUM(E91,I91,AE91,AG91))</f>
        <v/>
      </c>
      <c r="C91" s="119" t="n"/>
      <c r="D91" s="84" t="n"/>
      <c r="E91" s="84">
        <f>IF(D91="","",D91*C91)</f>
        <v/>
      </c>
      <c r="F91" s="120">
        <f>IF(B91="","",E91/B91)</f>
        <v/>
      </c>
      <c r="G91" s="127" t="n"/>
      <c r="I91" s="84">
        <f>IF(H91="","",H91*G91)</f>
        <v/>
      </c>
      <c r="J91" s="120">
        <f>IF(B91="","",I91/B91)</f>
        <v/>
      </c>
      <c r="K91" s="121">
        <f>IF(B91="","",F91+J91*3)</f>
        <v/>
      </c>
      <c r="O91" s="122" t="n"/>
      <c r="P91" s="83" t="n"/>
      <c r="V91" s="123">
        <f>IF(OR(B91="",B90=""),"",B91/B90-1)</f>
        <v/>
      </c>
      <c r="W91" s="79">
        <f>IF(B91="","",B91/$B$3-1)</f>
        <v/>
      </c>
      <c r="X91" s="78">
        <f>IF(B91="","",MAX($B$3:B91))</f>
        <v/>
      </c>
      <c r="Y91" s="79">
        <f>IF(OR(B91="",X91=""),"",B91/X91-1)</f>
        <v/>
      </c>
      <c r="Z91" s="78">
        <f>IF(D91="","",$B$3*D91/$D$3)</f>
        <v/>
      </c>
      <c r="AA91" s="79">
        <f>IF(D91="","",D91/$D$3-1)</f>
        <v/>
      </c>
      <c r="AB91" s="79">
        <f>IF(OR(W91="",AA91=""),"",W91-AA91)</f>
        <v/>
      </c>
      <c r="AC91" s="124" t="n"/>
      <c r="AD91" s="125" t="n"/>
      <c r="AE91" s="78">
        <f>IF(AD91="","",AC91*AD91)</f>
        <v/>
      </c>
      <c r="AF91" s="79">
        <f>IF(OR(AE91="",B91="",B91=0),"",AE91/B91)</f>
        <v/>
      </c>
      <c r="AG91" s="125" t="n"/>
      <c r="AH91" s="126" t="n"/>
      <c r="AI91" s="126" t="n"/>
      <c r="AJ91" s="126" t="n"/>
    </row>
    <row r="92" ht="15.75" customHeight="1" s="68">
      <c r="A92" s="117" t="n">
        <v>46364</v>
      </c>
      <c r="B92" s="118">
        <f>IF(AND(E92="",I92="",AE92="",AG92=""),"",SUM(E92,I92,AE92,AG92))</f>
        <v/>
      </c>
      <c r="C92" s="119" t="n"/>
      <c r="D92" s="84" t="n"/>
      <c r="E92" s="84">
        <f>IF(D92="","",D92*C92)</f>
        <v/>
      </c>
      <c r="F92" s="120">
        <f>IF(B92="","",E92/B92)</f>
        <v/>
      </c>
      <c r="G92" s="127" t="n"/>
      <c r="I92" s="84">
        <f>IF(H92="","",H92*G92)</f>
        <v/>
      </c>
      <c r="J92" s="120">
        <f>IF(B92="","",I92/B92)</f>
        <v/>
      </c>
      <c r="K92" s="121">
        <f>IF(B92="","",F92+J92*3)</f>
        <v/>
      </c>
      <c r="O92" s="122" t="n"/>
      <c r="P92" s="83" t="n"/>
      <c r="V92" s="123">
        <f>IF(OR(B92="",B91=""),"",B92/B91-1)</f>
        <v/>
      </c>
      <c r="W92" s="79">
        <f>IF(B92="","",B92/$B$3-1)</f>
        <v/>
      </c>
      <c r="X92" s="78">
        <f>IF(B92="","",MAX($B$3:B92))</f>
        <v/>
      </c>
      <c r="Y92" s="79">
        <f>IF(OR(B92="",X92=""),"",B92/X92-1)</f>
        <v/>
      </c>
      <c r="Z92" s="78">
        <f>IF(D92="","",$B$3*D92/$D$3)</f>
        <v/>
      </c>
      <c r="AA92" s="79">
        <f>IF(D92="","",D92/$D$3-1)</f>
        <v/>
      </c>
      <c r="AB92" s="79">
        <f>IF(OR(W92="",AA92=""),"",W92-AA92)</f>
        <v/>
      </c>
      <c r="AC92" s="124" t="n"/>
      <c r="AD92" s="125" t="n"/>
      <c r="AE92" s="78">
        <f>IF(AD92="","",AC92*AD92)</f>
        <v/>
      </c>
      <c r="AF92" s="79">
        <f>IF(OR(AE92="",B92="",B92=0),"",AE92/B92)</f>
        <v/>
      </c>
      <c r="AG92" s="125" t="n"/>
      <c r="AH92" s="126" t="n"/>
      <c r="AI92" s="126" t="n"/>
      <c r="AJ92" s="126" t="n"/>
    </row>
    <row r="93" ht="15.75" customHeight="1" s="68">
      <c r="A93" s="117" t="n">
        <v>46365</v>
      </c>
      <c r="B93" s="118">
        <f>IF(AND(E93="",I93="",AE93="",AG93=""),"",SUM(E93,I93,AE93,AG93))</f>
        <v/>
      </c>
      <c r="C93" s="119" t="n"/>
      <c r="D93" s="84" t="n"/>
      <c r="E93" s="84">
        <f>IF(D93="","",D93*C93)</f>
        <v/>
      </c>
      <c r="F93" s="120">
        <f>IF(B93="","",E93/B93)</f>
        <v/>
      </c>
      <c r="G93" s="127" t="n"/>
      <c r="I93" s="84">
        <f>IF(H93="","",H93*G93)</f>
        <v/>
      </c>
      <c r="J93" s="120">
        <f>IF(B93="","",I93/B93)</f>
        <v/>
      </c>
      <c r="K93" s="121">
        <f>IF(B93="","",F93+J93*3)</f>
        <v/>
      </c>
      <c r="O93" s="122" t="n"/>
      <c r="P93" s="83" t="n"/>
      <c r="V93" s="123">
        <f>IF(OR(B93="",B92=""),"",B93/B92-1)</f>
        <v/>
      </c>
      <c r="W93" s="79">
        <f>IF(B93="","",B93/$B$3-1)</f>
        <v/>
      </c>
      <c r="X93" s="78">
        <f>IF(B93="","",MAX($B$3:B93))</f>
        <v/>
      </c>
      <c r="Y93" s="79">
        <f>IF(OR(B93="",X93=""),"",B93/X93-1)</f>
        <v/>
      </c>
      <c r="Z93" s="78">
        <f>IF(D93="","",$B$3*D93/$D$3)</f>
        <v/>
      </c>
      <c r="AA93" s="79">
        <f>IF(D93="","",D93/$D$3-1)</f>
        <v/>
      </c>
      <c r="AB93" s="79">
        <f>IF(OR(W93="",AA93=""),"",W93-AA93)</f>
        <v/>
      </c>
      <c r="AC93" s="124" t="n"/>
      <c r="AD93" s="125" t="n"/>
      <c r="AE93" s="78">
        <f>IF(AD93="","",AC93*AD93)</f>
        <v/>
      </c>
      <c r="AF93" s="79">
        <f>IF(OR(AE93="",B93="",B93=0),"",AE93/B93)</f>
        <v/>
      </c>
      <c r="AG93" s="125" t="n"/>
      <c r="AH93" s="126" t="n"/>
      <c r="AI93" s="126" t="n"/>
      <c r="AJ93" s="126" t="n"/>
    </row>
    <row r="94" ht="15.75" customHeight="1" s="68">
      <c r="A94" s="117" t="n">
        <v>46366</v>
      </c>
      <c r="B94" s="118">
        <f>IF(AND(E94="",I94="",AE94="",AG94=""),"",SUM(E94,I94,AE94,AG94))</f>
        <v/>
      </c>
      <c r="C94" s="119" t="n"/>
      <c r="D94" s="84" t="n"/>
      <c r="E94" s="84">
        <f>IF(D94="","",D94*C94)</f>
        <v/>
      </c>
      <c r="F94" s="120">
        <f>IF(B94="","",E94/B94)</f>
        <v/>
      </c>
      <c r="G94" s="127" t="n"/>
      <c r="I94" s="84">
        <f>IF(H94="","",H94*G94)</f>
        <v/>
      </c>
      <c r="J94" s="120">
        <f>IF(B94="","",I94/B94)</f>
        <v/>
      </c>
      <c r="K94" s="121">
        <f>IF(B94="","",F94+J94*3)</f>
        <v/>
      </c>
      <c r="O94" s="122" t="n"/>
      <c r="P94" s="83" t="n"/>
      <c r="V94" s="123">
        <f>IF(OR(B94="",B93=""),"",B94/B93-1)</f>
        <v/>
      </c>
      <c r="W94" s="79">
        <f>IF(B94="","",B94/$B$3-1)</f>
        <v/>
      </c>
      <c r="X94" s="78">
        <f>IF(B94="","",MAX($B$3:B94))</f>
        <v/>
      </c>
      <c r="Y94" s="79">
        <f>IF(OR(B94="",X94=""),"",B94/X94-1)</f>
        <v/>
      </c>
      <c r="Z94" s="78">
        <f>IF(D94="","",$B$3*D94/$D$3)</f>
        <v/>
      </c>
      <c r="AA94" s="79">
        <f>IF(D94="","",D94/$D$3-1)</f>
        <v/>
      </c>
      <c r="AB94" s="79">
        <f>IF(OR(W94="",AA94=""),"",W94-AA94)</f>
        <v/>
      </c>
      <c r="AC94" s="124" t="n"/>
      <c r="AD94" s="125" t="n"/>
      <c r="AE94" s="78">
        <f>IF(AD94="","",AC94*AD94)</f>
        <v/>
      </c>
      <c r="AF94" s="79">
        <f>IF(OR(AE94="",B94="",B94=0),"",AE94/B94)</f>
        <v/>
      </c>
      <c r="AG94" s="125" t="n"/>
      <c r="AH94" s="126" t="n"/>
      <c r="AI94" s="126" t="n"/>
      <c r="AJ94" s="126" t="n"/>
    </row>
    <row r="95" ht="15.75" customHeight="1" s="68">
      <c r="A95" s="117" t="n">
        <v>46367</v>
      </c>
      <c r="B95" s="118">
        <f>IF(AND(E95="",I95="",AE95="",AG95=""),"",SUM(E95,I95,AE95,AG95))</f>
        <v/>
      </c>
      <c r="C95" s="119" t="n"/>
      <c r="D95" s="84" t="n"/>
      <c r="E95" s="84">
        <f>IF(D95="","",D95*C95)</f>
        <v/>
      </c>
      <c r="F95" s="120">
        <f>IF(B95="","",E95/B95)</f>
        <v/>
      </c>
      <c r="G95" s="127" t="n"/>
      <c r="I95" s="84">
        <f>IF(H95="","",H95*G95)</f>
        <v/>
      </c>
      <c r="J95" s="120">
        <f>IF(B95="","",I95/B95)</f>
        <v/>
      </c>
      <c r="K95" s="121">
        <f>IF(B95="","",F95+J95*3)</f>
        <v/>
      </c>
      <c r="O95" s="122" t="n"/>
      <c r="P95" s="83" t="n"/>
      <c r="V95" s="123">
        <f>IF(OR(B95="",B94=""),"",B95/B94-1)</f>
        <v/>
      </c>
      <c r="W95" s="79">
        <f>IF(B95="","",B95/$B$3-1)</f>
        <v/>
      </c>
      <c r="X95" s="78">
        <f>IF(B95="","",MAX($B$3:B95))</f>
        <v/>
      </c>
      <c r="Y95" s="79">
        <f>IF(OR(B95="",X95=""),"",B95/X95-1)</f>
        <v/>
      </c>
      <c r="Z95" s="78">
        <f>IF(D95="","",$B$3*D95/$D$3)</f>
        <v/>
      </c>
      <c r="AA95" s="79">
        <f>IF(D95="","",D95/$D$3-1)</f>
        <v/>
      </c>
      <c r="AB95" s="79">
        <f>IF(OR(W95="",AA95=""),"",W95-AA95)</f>
        <v/>
      </c>
      <c r="AC95" s="124" t="n"/>
      <c r="AD95" s="125" t="n"/>
      <c r="AE95" s="78">
        <f>IF(AD95="","",AC95*AD95)</f>
        <v/>
      </c>
      <c r="AF95" s="79">
        <f>IF(OR(AE95="",B95="",B95=0),"",AE95/B95)</f>
        <v/>
      </c>
      <c r="AG95" s="125" t="n"/>
      <c r="AH95" s="126" t="n"/>
      <c r="AI95" s="126" t="n"/>
      <c r="AJ95" s="126" t="n"/>
    </row>
    <row r="96" ht="15.75" customHeight="1" s="68">
      <c r="A96" s="117" t="n">
        <v>46370</v>
      </c>
      <c r="B96" s="118">
        <f>IF(AND(E96="",I96="",AE96="",AG96=""),"",SUM(E96,I96,AE96,AG96))</f>
        <v/>
      </c>
      <c r="C96" s="119" t="n"/>
      <c r="D96" s="84" t="n"/>
      <c r="E96" s="84">
        <f>IF(D96="","",D96*C96)</f>
        <v/>
      </c>
      <c r="F96" s="120">
        <f>IF(B96="","",E96/B96)</f>
        <v/>
      </c>
      <c r="G96" s="127" t="n"/>
      <c r="I96" s="84">
        <f>IF(H96="","",H96*G96)</f>
        <v/>
      </c>
      <c r="J96" s="120">
        <f>IF(B96="","",I96/B96)</f>
        <v/>
      </c>
      <c r="K96" s="121">
        <f>IF(B96="","",F96+J96*3)</f>
        <v/>
      </c>
      <c r="O96" s="122" t="n"/>
      <c r="P96" s="83" t="n"/>
      <c r="V96" s="123">
        <f>IF(OR(B96="",B95=""),"",B96/B95-1)</f>
        <v/>
      </c>
      <c r="W96" s="79">
        <f>IF(B96="","",B96/$B$3-1)</f>
        <v/>
      </c>
      <c r="X96" s="78">
        <f>IF(B96="","",MAX($B$3:B96))</f>
        <v/>
      </c>
      <c r="Y96" s="79">
        <f>IF(OR(B96="",X96=""),"",B96/X96-1)</f>
        <v/>
      </c>
      <c r="Z96" s="78">
        <f>IF(D96="","",$B$3*D96/$D$3)</f>
        <v/>
      </c>
      <c r="AA96" s="79">
        <f>IF(D96="","",D96/$D$3-1)</f>
        <v/>
      </c>
      <c r="AB96" s="79">
        <f>IF(OR(W96="",AA96=""),"",W96-AA96)</f>
        <v/>
      </c>
      <c r="AC96" s="124" t="n"/>
      <c r="AD96" s="125" t="n"/>
      <c r="AE96" s="78">
        <f>IF(AD96="","",AC96*AD96)</f>
        <v/>
      </c>
      <c r="AF96" s="79">
        <f>IF(OR(AE96="",B96="",B96=0),"",AE96/B96)</f>
        <v/>
      </c>
      <c r="AG96" s="125" t="n"/>
      <c r="AH96" s="126" t="n"/>
      <c r="AI96" s="126" t="n"/>
      <c r="AJ96" s="126" t="n"/>
    </row>
    <row r="97" ht="15.75" customHeight="1" s="68">
      <c r="A97" s="117" t="n">
        <v>46371</v>
      </c>
      <c r="B97" s="118">
        <f>IF(AND(E97="",I97="",AE97="",AG97=""),"",SUM(E97,I97,AE97,AG97))</f>
        <v/>
      </c>
      <c r="C97" s="119" t="n"/>
      <c r="D97" s="84" t="n"/>
      <c r="E97" s="84">
        <f>IF(D97="","",D97*C97)</f>
        <v/>
      </c>
      <c r="F97" s="120">
        <f>IF(B97="","",E97/B97)</f>
        <v/>
      </c>
      <c r="G97" s="127" t="n"/>
      <c r="I97" s="84">
        <f>IF(H97="","",H97*G97)</f>
        <v/>
      </c>
      <c r="J97" s="120">
        <f>IF(B97="","",I97/B97)</f>
        <v/>
      </c>
      <c r="K97" s="121">
        <f>IF(B97="","",F97+J97*3)</f>
        <v/>
      </c>
      <c r="O97" s="122" t="n"/>
      <c r="P97" s="83" t="n"/>
      <c r="V97" s="123">
        <f>IF(OR(B97="",B96=""),"",B97/B96-1)</f>
        <v/>
      </c>
      <c r="W97" s="79">
        <f>IF(B97="","",B97/$B$3-1)</f>
        <v/>
      </c>
      <c r="X97" s="78">
        <f>IF(B97="","",MAX($B$3:B97))</f>
        <v/>
      </c>
      <c r="Y97" s="79">
        <f>IF(OR(B97="",X97=""),"",B97/X97-1)</f>
        <v/>
      </c>
      <c r="Z97" s="78">
        <f>IF(D97="","",$B$3*D97/$D$3)</f>
        <v/>
      </c>
      <c r="AA97" s="79">
        <f>IF(D97="","",D97/$D$3-1)</f>
        <v/>
      </c>
      <c r="AB97" s="79">
        <f>IF(OR(W97="",AA97=""),"",W97-AA97)</f>
        <v/>
      </c>
      <c r="AC97" s="124" t="n"/>
      <c r="AD97" s="125" t="n"/>
      <c r="AE97" s="78">
        <f>IF(AD97="","",AC97*AD97)</f>
        <v/>
      </c>
      <c r="AF97" s="79">
        <f>IF(OR(AE97="",B97="",B97=0),"",AE97/B97)</f>
        <v/>
      </c>
      <c r="AG97" s="125" t="n"/>
      <c r="AH97" s="126" t="n"/>
      <c r="AI97" s="126" t="n"/>
      <c r="AJ97" s="126" t="n"/>
    </row>
    <row r="98" ht="15.75" customHeight="1" s="68">
      <c r="A98" s="117" t="n">
        <v>46372</v>
      </c>
      <c r="B98" s="118">
        <f>IF(AND(E98="",I98="",AE98="",AG98=""),"",SUM(E98,I98,AE98,AG98))</f>
        <v/>
      </c>
      <c r="C98" s="119" t="n"/>
      <c r="D98" s="84" t="n"/>
      <c r="E98" s="84">
        <f>IF(D98="","",D98*C98)</f>
        <v/>
      </c>
      <c r="F98" s="120">
        <f>IF(B98="","",E98/B98)</f>
        <v/>
      </c>
      <c r="G98" s="127" t="n"/>
      <c r="I98" s="84">
        <f>IF(H98="","",H98*G98)</f>
        <v/>
      </c>
      <c r="J98" s="120">
        <f>IF(B98="","",I98/B98)</f>
        <v/>
      </c>
      <c r="K98" s="121">
        <f>IF(B98="","",F98+J98*3)</f>
        <v/>
      </c>
      <c r="O98" s="122" t="n"/>
      <c r="P98" s="83" t="n"/>
      <c r="V98" s="123">
        <f>IF(OR(B98="",B97=""),"",B98/B97-1)</f>
        <v/>
      </c>
      <c r="W98" s="79">
        <f>IF(B98="","",B98/$B$3-1)</f>
        <v/>
      </c>
      <c r="X98" s="78">
        <f>IF(B98="","",MAX($B$3:B98))</f>
        <v/>
      </c>
      <c r="Y98" s="79">
        <f>IF(OR(B98="",X98=""),"",B98/X98-1)</f>
        <v/>
      </c>
      <c r="Z98" s="78">
        <f>IF(D98="","",$B$3*D98/$D$3)</f>
        <v/>
      </c>
      <c r="AA98" s="79">
        <f>IF(D98="","",D98/$D$3-1)</f>
        <v/>
      </c>
      <c r="AB98" s="79">
        <f>IF(OR(W98="",AA98=""),"",W98-AA98)</f>
        <v/>
      </c>
      <c r="AC98" s="124" t="n"/>
      <c r="AD98" s="125" t="n"/>
      <c r="AE98" s="78">
        <f>IF(AD98="","",AC98*AD98)</f>
        <v/>
      </c>
      <c r="AF98" s="79">
        <f>IF(OR(AE98="",B98="",B98=0),"",AE98/B98)</f>
        <v/>
      </c>
      <c r="AG98" s="125" t="n"/>
      <c r="AH98" s="126" t="n"/>
      <c r="AI98" s="126" t="n"/>
      <c r="AJ98" s="126" t="n"/>
    </row>
    <row r="99" ht="15.75" customHeight="1" s="68">
      <c r="A99" s="117" t="n">
        <v>46373</v>
      </c>
      <c r="B99" s="118">
        <f>IF(AND(E99="",I99="",AE99="",AG99=""),"",SUM(E99,I99,AE99,AG99))</f>
        <v/>
      </c>
      <c r="C99" s="119" t="n"/>
      <c r="D99" s="84" t="n"/>
      <c r="E99" s="84">
        <f>IF(D99="","",D99*C99)</f>
        <v/>
      </c>
      <c r="F99" s="120">
        <f>IF(B99="","",E99/B99)</f>
        <v/>
      </c>
      <c r="G99" s="127" t="n"/>
      <c r="I99" s="84">
        <f>IF(H99="","",H99*G99)</f>
        <v/>
      </c>
      <c r="J99" s="120">
        <f>IF(B99="","",I99/B99)</f>
        <v/>
      </c>
      <c r="K99" s="121">
        <f>IF(B99="","",F99+J99*3)</f>
        <v/>
      </c>
      <c r="O99" s="122" t="n"/>
      <c r="P99" s="83" t="n"/>
      <c r="V99" s="123">
        <f>IF(OR(B99="",B98=""),"",B99/B98-1)</f>
        <v/>
      </c>
      <c r="W99" s="79">
        <f>IF(B99="","",B99/$B$3-1)</f>
        <v/>
      </c>
      <c r="X99" s="78">
        <f>IF(B99="","",MAX($B$3:B99))</f>
        <v/>
      </c>
      <c r="Y99" s="79">
        <f>IF(OR(B99="",X99=""),"",B99/X99-1)</f>
        <v/>
      </c>
      <c r="Z99" s="78">
        <f>IF(D99="","",$B$3*D99/$D$3)</f>
        <v/>
      </c>
      <c r="AA99" s="79">
        <f>IF(D99="","",D99/$D$3-1)</f>
        <v/>
      </c>
      <c r="AB99" s="79">
        <f>IF(OR(W99="",AA99=""),"",W99-AA99)</f>
        <v/>
      </c>
      <c r="AC99" s="124" t="n"/>
      <c r="AD99" s="125" t="n"/>
      <c r="AE99" s="78">
        <f>IF(AD99="","",AC99*AD99)</f>
        <v/>
      </c>
      <c r="AF99" s="79">
        <f>IF(OR(AE99="",B99="",B99=0),"",AE99/B99)</f>
        <v/>
      </c>
      <c r="AG99" s="125" t="n"/>
      <c r="AH99" s="126" t="n"/>
      <c r="AI99" s="126" t="n"/>
      <c r="AJ99" s="126" t="n"/>
    </row>
    <row r="100" ht="15.75" customHeight="1" s="68">
      <c r="A100" s="117" t="n">
        <v>46374</v>
      </c>
      <c r="B100" s="118">
        <f>IF(AND(E100="",I100="",AE100="",AG100=""),"",SUM(E100,I100,AE100,AG100))</f>
        <v/>
      </c>
      <c r="C100" s="119" t="n"/>
      <c r="D100" s="84" t="n"/>
      <c r="E100" s="84">
        <f>IF(D100="","",D100*C100)</f>
        <v/>
      </c>
      <c r="F100" s="120">
        <f>IF(B100="","",E100/B100)</f>
        <v/>
      </c>
      <c r="G100" s="127" t="n"/>
      <c r="I100" s="84">
        <f>IF(H100="","",H100*G100)</f>
        <v/>
      </c>
      <c r="J100" s="120">
        <f>IF(B100="","",I100/B100)</f>
        <v/>
      </c>
      <c r="K100" s="121">
        <f>IF(B100="","",F100+J100*3)</f>
        <v/>
      </c>
      <c r="O100" s="122" t="n"/>
      <c r="P100" s="83" t="n"/>
      <c r="V100" s="123">
        <f>IF(OR(B100="",B99=""),"",B100/B99-1)</f>
        <v/>
      </c>
      <c r="W100" s="79">
        <f>IF(B100="","",B100/$B$3-1)</f>
        <v/>
      </c>
      <c r="X100" s="78">
        <f>IF(B100="","",MAX($B$3:B100))</f>
        <v/>
      </c>
      <c r="Y100" s="79">
        <f>IF(OR(B100="",X100=""),"",B100/X100-1)</f>
        <v/>
      </c>
      <c r="Z100" s="78">
        <f>IF(D100="","",$B$3*D100/$D$3)</f>
        <v/>
      </c>
      <c r="AA100" s="79">
        <f>IF(D100="","",D100/$D$3-1)</f>
        <v/>
      </c>
      <c r="AB100" s="79">
        <f>IF(OR(W100="",AA100=""),"",W100-AA100)</f>
        <v/>
      </c>
      <c r="AC100" s="124" t="n"/>
      <c r="AD100" s="125" t="n"/>
      <c r="AE100" s="78">
        <f>IF(AD100="","",AC100*AD100)</f>
        <v/>
      </c>
      <c r="AF100" s="79">
        <f>IF(OR(AE100="",B100="",B100=0),"",AE100/B100)</f>
        <v/>
      </c>
      <c r="AG100" s="125" t="n"/>
      <c r="AH100" s="126" t="n"/>
      <c r="AI100" s="126" t="n"/>
      <c r="AJ100" s="126" t="n"/>
    </row>
    <row r="101" ht="15.75" customHeight="1" s="68">
      <c r="A101" s="117" t="n">
        <v>46377</v>
      </c>
      <c r="B101" s="118">
        <f>IF(AND(E101="",I101="",AE101="",AG101=""),"",SUM(E101,I101,AE101,AG101))</f>
        <v/>
      </c>
      <c r="C101" s="119" t="n"/>
      <c r="D101" s="84" t="n"/>
      <c r="E101" s="84">
        <f>IF(D101="","",D101*C101)</f>
        <v/>
      </c>
      <c r="F101" s="120">
        <f>IF(B101="","",E101/B101)</f>
        <v/>
      </c>
      <c r="G101" s="127" t="n"/>
      <c r="I101" s="84">
        <f>IF(H101="","",H101*G101)</f>
        <v/>
      </c>
      <c r="J101" s="120">
        <f>IF(B101="","",I101/B101)</f>
        <v/>
      </c>
      <c r="K101" s="121">
        <f>IF(B101="","",F101+J101*3)</f>
        <v/>
      </c>
      <c r="O101" s="122" t="n"/>
      <c r="P101" s="83" t="n"/>
      <c r="V101" s="123">
        <f>IF(OR(B101="",B100=""),"",B101/B100-1)</f>
        <v/>
      </c>
      <c r="W101" s="79">
        <f>IF(B101="","",B101/$B$3-1)</f>
        <v/>
      </c>
      <c r="X101" s="78">
        <f>IF(B101="","",MAX($B$3:B101))</f>
        <v/>
      </c>
      <c r="Y101" s="79">
        <f>IF(OR(B101="",X101=""),"",B101/X101-1)</f>
        <v/>
      </c>
      <c r="Z101" s="78">
        <f>IF(D101="","",$B$3*D101/$D$3)</f>
        <v/>
      </c>
      <c r="AA101" s="79">
        <f>IF(D101="","",D101/$D$3-1)</f>
        <v/>
      </c>
      <c r="AB101" s="79">
        <f>IF(OR(W101="",AA101=""),"",W101-AA101)</f>
        <v/>
      </c>
      <c r="AC101" s="124" t="n"/>
      <c r="AD101" s="125" t="n"/>
      <c r="AE101" s="78">
        <f>IF(AD101="","",AC101*AD101)</f>
        <v/>
      </c>
      <c r="AF101" s="79">
        <f>IF(OR(AE101="",B101="",B101=0),"",AE101/B101)</f>
        <v/>
      </c>
      <c r="AG101" s="125" t="n"/>
      <c r="AH101" s="126" t="n"/>
      <c r="AI101" s="126" t="n"/>
      <c r="AJ101" s="126" t="n"/>
    </row>
    <row r="102" ht="15.75" customHeight="1" s="68">
      <c r="A102" s="117" t="n">
        <v>46378</v>
      </c>
      <c r="B102" s="118">
        <f>IF(AND(E102="",I102="",AE102="",AG102=""),"",SUM(E102,I102,AE102,AG102))</f>
        <v/>
      </c>
      <c r="C102" s="119" t="n"/>
      <c r="D102" s="84" t="n"/>
      <c r="E102" s="84">
        <f>IF(D102="","",D102*C102)</f>
        <v/>
      </c>
      <c r="F102" s="120">
        <f>IF(B102="","",E102/B102)</f>
        <v/>
      </c>
      <c r="G102" s="127" t="n"/>
      <c r="I102" s="84">
        <f>IF(H102="","",H102*G102)</f>
        <v/>
      </c>
      <c r="J102" s="120">
        <f>IF(B102="","",I102/B102)</f>
        <v/>
      </c>
      <c r="K102" s="121">
        <f>IF(B102="","",F102+J102*3)</f>
        <v/>
      </c>
      <c r="O102" s="122" t="n"/>
      <c r="P102" s="83" t="n"/>
      <c r="V102" s="123">
        <f>IF(OR(B102="",B101=""),"",B102/B101-1)</f>
        <v/>
      </c>
      <c r="W102" s="79">
        <f>IF(B102="","",B102/$B$3-1)</f>
        <v/>
      </c>
      <c r="X102" s="78">
        <f>IF(B102="","",MAX($B$3:B102))</f>
        <v/>
      </c>
      <c r="Y102" s="79">
        <f>IF(OR(B102="",X102=""),"",B102/X102-1)</f>
        <v/>
      </c>
      <c r="Z102" s="78">
        <f>IF(D102="","",$B$3*D102/$D$3)</f>
        <v/>
      </c>
      <c r="AA102" s="79">
        <f>IF(D102="","",D102/$D$3-1)</f>
        <v/>
      </c>
      <c r="AB102" s="79">
        <f>IF(OR(W102="",AA102=""),"",W102-AA102)</f>
        <v/>
      </c>
      <c r="AC102" s="124" t="n"/>
      <c r="AD102" s="125" t="n"/>
      <c r="AE102" s="78">
        <f>IF(AD102="","",AC102*AD102)</f>
        <v/>
      </c>
      <c r="AF102" s="79">
        <f>IF(OR(AE102="",B102="",B102=0),"",AE102/B102)</f>
        <v/>
      </c>
      <c r="AG102" s="125" t="n"/>
      <c r="AH102" s="126" t="n"/>
      <c r="AI102" s="126" t="n"/>
      <c r="AJ102" s="126" t="n"/>
    </row>
    <row r="103" ht="15.75" customHeight="1" s="68">
      <c r="A103" s="117" t="n">
        <v>46379</v>
      </c>
      <c r="B103" s="118">
        <f>IF(AND(E103="",I103="",AE103="",AG103=""),"",SUM(E103,I103,AE103,AG103))</f>
        <v/>
      </c>
      <c r="C103" s="119" t="n"/>
      <c r="D103" s="84" t="n"/>
      <c r="E103" s="84">
        <f>IF(D103="","",D103*C103)</f>
        <v/>
      </c>
      <c r="F103" s="120">
        <f>IF(B103="","",E103/B103)</f>
        <v/>
      </c>
      <c r="G103" s="127" t="n"/>
      <c r="I103" s="84">
        <f>IF(H103="","",H103*G103)</f>
        <v/>
      </c>
      <c r="J103" s="120">
        <f>IF(B103="","",I103/B103)</f>
        <v/>
      </c>
      <c r="K103" s="121">
        <f>IF(B103="","",F103+J103*3)</f>
        <v/>
      </c>
      <c r="O103" s="122" t="n"/>
      <c r="P103" s="83" t="n"/>
      <c r="V103" s="123">
        <f>IF(OR(B103="",B102=""),"",B103/B102-1)</f>
        <v/>
      </c>
      <c r="W103" s="79">
        <f>IF(B103="","",B103/$B$3-1)</f>
        <v/>
      </c>
      <c r="X103" s="78">
        <f>IF(B103="","",MAX($B$3:B103))</f>
        <v/>
      </c>
      <c r="Y103" s="79">
        <f>IF(OR(B103="",X103=""),"",B103/X103-1)</f>
        <v/>
      </c>
      <c r="Z103" s="78">
        <f>IF(D103="","",$B$3*D103/$D$3)</f>
        <v/>
      </c>
      <c r="AA103" s="79">
        <f>IF(D103="","",D103/$D$3-1)</f>
        <v/>
      </c>
      <c r="AB103" s="79">
        <f>IF(OR(W103="",AA103=""),"",W103-AA103)</f>
        <v/>
      </c>
      <c r="AC103" s="124" t="n"/>
      <c r="AD103" s="125" t="n"/>
      <c r="AE103" s="78">
        <f>IF(AD103="","",AC103*AD103)</f>
        <v/>
      </c>
      <c r="AF103" s="79">
        <f>IF(OR(AE103="",B103="",B103=0),"",AE103/B103)</f>
        <v/>
      </c>
      <c r="AG103" s="125" t="n"/>
      <c r="AH103" s="126" t="n"/>
      <c r="AI103" s="126" t="n"/>
      <c r="AJ103" s="126" t="n"/>
    </row>
    <row r="104" ht="15.75" customHeight="1" s="68">
      <c r="A104" s="117" t="n">
        <v>46380</v>
      </c>
      <c r="B104" s="118">
        <f>IF(AND(E104="",I104="",AE104="",AG104=""),"",SUM(E104,I104,AE104,AG104))</f>
        <v/>
      </c>
      <c r="C104" s="119" t="n"/>
      <c r="D104" s="84" t="n"/>
      <c r="E104" s="84">
        <f>IF(D104="","",D104*C104)</f>
        <v/>
      </c>
      <c r="F104" s="120">
        <f>IF(B104="","",E104/B104)</f>
        <v/>
      </c>
      <c r="G104" s="127" t="n"/>
      <c r="I104" s="84">
        <f>IF(H104="","",H104*G104)</f>
        <v/>
      </c>
      <c r="J104" s="120">
        <f>IF(B104="","",I104/B104)</f>
        <v/>
      </c>
      <c r="K104" s="121">
        <f>IF(B104="","",F104+J104*3)</f>
        <v/>
      </c>
      <c r="O104" s="122" t="n"/>
      <c r="P104" s="83" t="n"/>
      <c r="V104" s="123">
        <f>IF(OR(B104="",B103=""),"",B104/B103-1)</f>
        <v/>
      </c>
      <c r="W104" s="79">
        <f>IF(B104="","",B104/$B$3-1)</f>
        <v/>
      </c>
      <c r="X104" s="78">
        <f>IF(B104="","",MAX($B$3:B104))</f>
        <v/>
      </c>
      <c r="Y104" s="79">
        <f>IF(OR(B104="",X104=""),"",B104/X104-1)</f>
        <v/>
      </c>
      <c r="Z104" s="78">
        <f>IF(D104="","",$B$3*D104/$D$3)</f>
        <v/>
      </c>
      <c r="AA104" s="79">
        <f>IF(D104="","",D104/$D$3-1)</f>
        <v/>
      </c>
      <c r="AB104" s="79">
        <f>IF(OR(W104="",AA104=""),"",W104-AA104)</f>
        <v/>
      </c>
      <c r="AC104" s="124" t="n"/>
      <c r="AD104" s="125" t="n"/>
      <c r="AE104" s="78">
        <f>IF(AD104="","",AC104*AD104)</f>
        <v/>
      </c>
      <c r="AF104" s="79">
        <f>IF(OR(AE104="",B104="",B104=0),"",AE104/B104)</f>
        <v/>
      </c>
      <c r="AG104" s="125" t="n"/>
      <c r="AH104" s="126" t="n"/>
      <c r="AI104" s="126" t="n"/>
      <c r="AJ104" s="126" t="n"/>
    </row>
    <row r="105" ht="15.75" customHeight="1" s="68">
      <c r="A105" s="117" t="n">
        <v>46384</v>
      </c>
      <c r="B105" s="118">
        <f>IF(AND(E105="",I105="",AE105="",AG105=""),"",SUM(E105,I105,AE105,AG105))</f>
        <v/>
      </c>
      <c r="C105" s="119" t="n"/>
      <c r="D105" s="84" t="n"/>
      <c r="E105" s="84">
        <f>IF(D105="","",D105*C105)</f>
        <v/>
      </c>
      <c r="F105" s="120">
        <f>IF(B105="","",E105/B105)</f>
        <v/>
      </c>
      <c r="G105" s="127" t="n"/>
      <c r="I105" s="84">
        <f>IF(H105="","",H105*G105)</f>
        <v/>
      </c>
      <c r="J105" s="120">
        <f>IF(B105="","",I105/B105)</f>
        <v/>
      </c>
      <c r="K105" s="121">
        <f>IF(B105="","",F105+J105*3)</f>
        <v/>
      </c>
      <c r="O105" s="122" t="n"/>
      <c r="P105" s="83" t="n"/>
      <c r="V105" s="123">
        <f>IF(OR(B105="",B104=""),"",B105/B104-1)</f>
        <v/>
      </c>
      <c r="W105" s="79">
        <f>IF(B105="","",B105/$B$3-1)</f>
        <v/>
      </c>
      <c r="X105" s="78">
        <f>IF(B105="","",MAX($B$3:B105))</f>
        <v/>
      </c>
      <c r="Y105" s="79">
        <f>IF(OR(B105="",X105=""),"",B105/X105-1)</f>
        <v/>
      </c>
      <c r="Z105" s="78">
        <f>IF(D105="","",$B$3*D105/$D$3)</f>
        <v/>
      </c>
      <c r="AA105" s="79">
        <f>IF(D105="","",D105/$D$3-1)</f>
        <v/>
      </c>
      <c r="AB105" s="79">
        <f>IF(OR(W105="",AA105=""),"",W105-AA105)</f>
        <v/>
      </c>
      <c r="AC105" s="124" t="n"/>
      <c r="AD105" s="125" t="n"/>
      <c r="AE105" s="78">
        <f>IF(AD105="","",AC105*AD105)</f>
        <v/>
      </c>
      <c r="AF105" s="79">
        <f>IF(OR(AE105="",B105="",B105=0),"",AE105/B105)</f>
        <v/>
      </c>
      <c r="AG105" s="125" t="n"/>
      <c r="AH105" s="126" t="n"/>
      <c r="AI105" s="126" t="n"/>
      <c r="AJ105" s="126" t="n"/>
    </row>
    <row r="106" ht="15.75" customHeight="1" s="68">
      <c r="A106" s="117" t="n">
        <v>46385</v>
      </c>
      <c r="B106" s="118">
        <f>IF(AND(E106="",I106="",AE106="",AG106=""),"",SUM(E106,I106,AE106,AG106))</f>
        <v/>
      </c>
      <c r="C106" s="119" t="n"/>
      <c r="D106" s="84" t="n"/>
      <c r="E106" s="84">
        <f>IF(D106="","",D106*C106)</f>
        <v/>
      </c>
      <c r="F106" s="120">
        <f>IF(B106="","",E106/B106)</f>
        <v/>
      </c>
      <c r="G106" s="127" t="n"/>
      <c r="I106" s="84">
        <f>IF(H106="","",H106*G106)</f>
        <v/>
      </c>
      <c r="J106" s="120">
        <f>IF(B106="","",I106/B106)</f>
        <v/>
      </c>
      <c r="K106" s="121">
        <f>IF(B106="","",F106+J106*3)</f>
        <v/>
      </c>
      <c r="O106" s="122" t="n"/>
      <c r="P106" s="83" t="n"/>
      <c r="V106" s="123">
        <f>IF(OR(B106="",B105=""),"",B106/B105-1)</f>
        <v/>
      </c>
      <c r="W106" s="79">
        <f>IF(B106="","",B106/$B$3-1)</f>
        <v/>
      </c>
      <c r="X106" s="78">
        <f>IF(B106="","",MAX($B$3:B106))</f>
        <v/>
      </c>
      <c r="Y106" s="79">
        <f>IF(OR(B106="",X106=""),"",B106/X106-1)</f>
        <v/>
      </c>
      <c r="Z106" s="78">
        <f>IF(D106="","",$B$3*D106/$D$3)</f>
        <v/>
      </c>
      <c r="AA106" s="79">
        <f>IF(D106="","",D106/$D$3-1)</f>
        <v/>
      </c>
      <c r="AB106" s="79">
        <f>IF(OR(W106="",AA106=""),"",W106-AA106)</f>
        <v/>
      </c>
      <c r="AC106" s="124" t="n"/>
      <c r="AD106" s="125" t="n"/>
      <c r="AE106" s="78">
        <f>IF(AD106="","",AC106*AD106)</f>
        <v/>
      </c>
      <c r="AF106" s="79">
        <f>IF(OR(AE106="",B106="",B106=0),"",AE106/B106)</f>
        <v/>
      </c>
      <c r="AG106" s="125" t="n"/>
      <c r="AH106" s="126" t="n"/>
      <c r="AI106" s="126" t="n"/>
      <c r="AJ106" s="126" t="n"/>
    </row>
    <row r="107" ht="15.75" customHeight="1" s="68">
      <c r="A107" s="117" t="n">
        <v>46386</v>
      </c>
      <c r="B107" s="118">
        <f>IF(AND(E107="",I107="",AE107="",AG107=""),"",SUM(E107,I107,AE107,AG107))</f>
        <v/>
      </c>
      <c r="C107" s="119" t="n"/>
      <c r="D107" s="84" t="n"/>
      <c r="E107" s="84">
        <f>IF(D107="","",D107*C107)</f>
        <v/>
      </c>
      <c r="F107" s="120">
        <f>IF(B107="","",E107/B107)</f>
        <v/>
      </c>
      <c r="G107" s="127" t="n"/>
      <c r="I107" s="84">
        <f>IF(H107="","",H107*G107)</f>
        <v/>
      </c>
      <c r="J107" s="120">
        <f>IF(B107="","",I107/B107)</f>
        <v/>
      </c>
      <c r="K107" s="121">
        <f>IF(B107="","",F107+J107*3)</f>
        <v/>
      </c>
      <c r="O107" s="122" t="n"/>
      <c r="P107" s="83" t="n"/>
      <c r="V107" s="123">
        <f>IF(OR(B107="",B106=""),"",B107/B106-1)</f>
        <v/>
      </c>
      <c r="W107" s="79">
        <f>IF(B107="","",B107/$B$3-1)</f>
        <v/>
      </c>
      <c r="X107" s="78">
        <f>IF(B107="","",MAX($B$3:B107))</f>
        <v/>
      </c>
      <c r="Y107" s="79">
        <f>IF(OR(B107="",X107=""),"",B107/X107-1)</f>
        <v/>
      </c>
      <c r="Z107" s="78">
        <f>IF(D107="","",$B$3*D107/$D$3)</f>
        <v/>
      </c>
      <c r="AA107" s="79">
        <f>IF(D107="","",D107/$D$3-1)</f>
        <v/>
      </c>
      <c r="AB107" s="79">
        <f>IF(OR(W107="",AA107=""),"",W107-AA107)</f>
        <v/>
      </c>
      <c r="AC107" s="124" t="n"/>
      <c r="AD107" s="125" t="n"/>
      <c r="AE107" s="78">
        <f>IF(AD107="","",AC107*AD107)</f>
        <v/>
      </c>
      <c r="AF107" s="79">
        <f>IF(OR(AE107="",B107="",B107=0),"",AE107/B107)</f>
        <v/>
      </c>
      <c r="AG107" s="125" t="n"/>
      <c r="AH107" s="126" t="n"/>
      <c r="AI107" s="126" t="n"/>
      <c r="AJ107" s="126" t="n"/>
    </row>
    <row r="108" ht="15.75" customHeight="1" s="68">
      <c r="A108" s="117" t="n">
        <v>46387</v>
      </c>
      <c r="B108" s="118">
        <f>IF(AND(E108="",I108="",AE108="",AG108=""),"",SUM(E108,I108,AE108,AG108))</f>
        <v/>
      </c>
      <c r="C108" s="119" t="n"/>
      <c r="D108" s="84" t="n"/>
      <c r="E108" s="84">
        <f>IF(D108="","",D108*C108)</f>
        <v/>
      </c>
      <c r="F108" s="120">
        <f>IF(B108="","",E108/B108)</f>
        <v/>
      </c>
      <c r="G108" s="127" t="n"/>
      <c r="I108" s="84">
        <f>IF(H108="","",H108*G108)</f>
        <v/>
      </c>
      <c r="J108" s="120">
        <f>IF(B108="","",I108/B108)</f>
        <v/>
      </c>
      <c r="K108" s="121">
        <f>IF(B108="","",F108+J108*3)</f>
        <v/>
      </c>
      <c r="O108" s="122" t="n"/>
      <c r="P108" s="83" t="n"/>
      <c r="V108" s="123">
        <f>IF(OR(B108="",B107=""),"",B108/B107-1)</f>
        <v/>
      </c>
      <c r="W108" s="79">
        <f>IF(B108="","",B108/$B$3-1)</f>
        <v/>
      </c>
      <c r="X108" s="78">
        <f>IF(B108="","",MAX($B$3:B108))</f>
        <v/>
      </c>
      <c r="Y108" s="79">
        <f>IF(OR(B108="",X108=""),"",B108/X108-1)</f>
        <v/>
      </c>
      <c r="Z108" s="78">
        <f>IF(D108="","",$B$3*D108/$D$3)</f>
        <v/>
      </c>
      <c r="AA108" s="79">
        <f>IF(D108="","",D108/$D$3-1)</f>
        <v/>
      </c>
      <c r="AB108" s="79">
        <f>IF(OR(W108="",AA108=""),"",W108-AA108)</f>
        <v/>
      </c>
      <c r="AC108" s="124" t="n"/>
      <c r="AD108" s="125" t="n"/>
      <c r="AE108" s="78">
        <f>IF(AD108="","",AC108*AD108)</f>
        <v/>
      </c>
      <c r="AF108" s="79">
        <f>IF(OR(AE108="",B108="",B108=0),"",AE108/B108)</f>
        <v/>
      </c>
      <c r="AG108" s="125" t="n"/>
      <c r="AH108" s="126" t="n"/>
      <c r="AI108" s="126" t="n"/>
      <c r="AJ108" s="126" t="n"/>
    </row>
    <row r="109" ht="15.75" customHeight="1" s="68">
      <c r="A109" s="117" t="n">
        <v>46391</v>
      </c>
      <c r="B109" s="118">
        <f>IF(AND(E109="",I109="",AE109="",AG109=""),"",SUM(E109,I109,AE109,AG109))</f>
        <v/>
      </c>
      <c r="C109" s="119" t="n"/>
      <c r="D109" s="84" t="n"/>
      <c r="E109" s="84">
        <f>IF(D109="","",D109*C109)</f>
        <v/>
      </c>
      <c r="F109" s="120">
        <f>IF(B109="","",E109/B109)</f>
        <v/>
      </c>
      <c r="G109" s="127" t="n"/>
      <c r="I109" s="84">
        <f>IF(H109="","",H109*G109)</f>
        <v/>
      </c>
      <c r="J109" s="120">
        <f>IF(B109="","",I109/B109)</f>
        <v/>
      </c>
      <c r="K109" s="121">
        <f>IF(B109="","",F109+J109*3)</f>
        <v/>
      </c>
      <c r="O109" s="122" t="n"/>
      <c r="P109" s="83" t="n"/>
      <c r="V109" s="123">
        <f>IF(OR(B109="",B108=""),"",B109/B108-1)</f>
        <v/>
      </c>
      <c r="W109" s="79">
        <f>IF(B109="","",B109/$B$3-1)</f>
        <v/>
      </c>
      <c r="X109" s="78">
        <f>IF(B109="","",MAX($B$3:B109))</f>
        <v/>
      </c>
      <c r="Y109" s="79">
        <f>IF(OR(B109="",X109=""),"",B109/X109-1)</f>
        <v/>
      </c>
      <c r="Z109" s="78">
        <f>IF(D109="","",$B$3*D109/$D$3)</f>
        <v/>
      </c>
      <c r="AA109" s="79">
        <f>IF(D109="","",D109/$D$3-1)</f>
        <v/>
      </c>
      <c r="AB109" s="79">
        <f>IF(OR(W109="",AA109=""),"",W109-AA109)</f>
        <v/>
      </c>
      <c r="AC109" s="124" t="n"/>
      <c r="AD109" s="125" t="n"/>
      <c r="AE109" s="78">
        <f>IF(AD109="","",AC109*AD109)</f>
        <v/>
      </c>
      <c r="AF109" s="79">
        <f>IF(OR(AE109="",B109="",B109=0),"",AE109/B109)</f>
        <v/>
      </c>
      <c r="AG109" s="125" t="n"/>
      <c r="AH109" s="126" t="n"/>
      <c r="AI109" s="126" t="n"/>
      <c r="AJ109" s="126" t="n"/>
    </row>
    <row r="110" ht="15.75" customHeight="1" s="68">
      <c r="A110" s="117" t="n">
        <v>46392</v>
      </c>
      <c r="B110" s="118">
        <f>IF(AND(E110="",I110="",AE110="",AG110=""),"",SUM(E110,I110,AE110,AG110))</f>
        <v/>
      </c>
      <c r="C110" s="119" t="n"/>
      <c r="D110" s="84" t="n"/>
      <c r="E110" s="84">
        <f>IF(D110="","",D110*C110)</f>
        <v/>
      </c>
      <c r="F110" s="120">
        <f>IF(B110="","",E110/B110)</f>
        <v/>
      </c>
      <c r="G110" s="127" t="n"/>
      <c r="I110" s="84">
        <f>IF(H110="","",H110*G110)</f>
        <v/>
      </c>
      <c r="J110" s="120">
        <f>IF(B110="","",I110/B110)</f>
        <v/>
      </c>
      <c r="K110" s="121">
        <f>IF(B110="","",F110+J110*3)</f>
        <v/>
      </c>
      <c r="O110" s="122" t="n"/>
      <c r="P110" s="83" t="n"/>
      <c r="V110" s="123">
        <f>IF(OR(B110="",B109=""),"",B110/B109-1)</f>
        <v/>
      </c>
      <c r="W110" s="79">
        <f>IF(B110="","",B110/$B$3-1)</f>
        <v/>
      </c>
      <c r="X110" s="78">
        <f>IF(B110="","",MAX($B$3:B110))</f>
        <v/>
      </c>
      <c r="Y110" s="79">
        <f>IF(OR(B110="",X110=""),"",B110/X110-1)</f>
        <v/>
      </c>
      <c r="Z110" s="78">
        <f>IF(D110="","",$B$3*D110/$D$3)</f>
        <v/>
      </c>
      <c r="AA110" s="79">
        <f>IF(D110="","",D110/$D$3-1)</f>
        <v/>
      </c>
      <c r="AB110" s="79">
        <f>IF(OR(W110="",AA110=""),"",W110-AA110)</f>
        <v/>
      </c>
      <c r="AC110" s="124" t="n"/>
      <c r="AD110" s="125" t="n"/>
      <c r="AE110" s="78">
        <f>IF(AD110="","",AC110*AD110)</f>
        <v/>
      </c>
      <c r="AF110" s="79">
        <f>IF(OR(AE110="",B110="",B110=0),"",AE110/B110)</f>
        <v/>
      </c>
      <c r="AG110" s="125" t="n"/>
      <c r="AH110" s="126" t="n"/>
      <c r="AI110" s="126" t="n"/>
      <c r="AJ110" s="126" t="n"/>
    </row>
    <row r="111" ht="15.75" customHeight="1" s="68">
      <c r="A111" s="117" t="n">
        <v>46393</v>
      </c>
      <c r="B111" s="118">
        <f>IF(AND(E111="",I111="",AE111="",AG111=""),"",SUM(E111,I111,AE111,AG111))</f>
        <v/>
      </c>
      <c r="C111" s="119" t="n"/>
      <c r="D111" s="84" t="n"/>
      <c r="E111" s="84">
        <f>IF(D111="","",D111*C111)</f>
        <v/>
      </c>
      <c r="F111" s="120">
        <f>IF(B111="","",E111/B111)</f>
        <v/>
      </c>
      <c r="G111" s="127" t="n"/>
      <c r="I111" s="84">
        <f>IF(H111="","",H111*G111)</f>
        <v/>
      </c>
      <c r="J111" s="120">
        <f>IF(B111="","",I111/B111)</f>
        <v/>
      </c>
      <c r="K111" s="121">
        <f>IF(B111="","",F111+J111*3)</f>
        <v/>
      </c>
      <c r="O111" s="122" t="n"/>
      <c r="P111" s="83" t="n"/>
      <c r="V111" s="123">
        <f>IF(OR(B111="",B110=""),"",B111/B110-1)</f>
        <v/>
      </c>
      <c r="W111" s="79">
        <f>IF(B111="","",B111/$B$3-1)</f>
        <v/>
      </c>
      <c r="X111" s="78">
        <f>IF(B111="","",MAX($B$3:B111))</f>
        <v/>
      </c>
      <c r="Y111" s="79">
        <f>IF(OR(B111="",X111=""),"",B111/X111-1)</f>
        <v/>
      </c>
      <c r="Z111" s="78">
        <f>IF(D111="","",$B$3*D111/$D$3)</f>
        <v/>
      </c>
      <c r="AA111" s="79">
        <f>IF(D111="","",D111/$D$3-1)</f>
        <v/>
      </c>
      <c r="AB111" s="79">
        <f>IF(OR(W111="",AA111=""),"",W111-AA111)</f>
        <v/>
      </c>
      <c r="AC111" s="124" t="n"/>
      <c r="AD111" s="125" t="n"/>
      <c r="AE111" s="78">
        <f>IF(AD111="","",AC111*AD111)</f>
        <v/>
      </c>
      <c r="AF111" s="79">
        <f>IF(OR(AE111="",B111="",B111=0),"",AE111/B111)</f>
        <v/>
      </c>
      <c r="AG111" s="125" t="n"/>
      <c r="AH111" s="126" t="n"/>
      <c r="AI111" s="126" t="n"/>
      <c r="AJ111" s="126" t="n"/>
    </row>
    <row r="112" ht="15.75" customHeight="1" s="68">
      <c r="A112" s="117" t="n">
        <v>46394</v>
      </c>
      <c r="B112" s="118">
        <f>IF(AND(E112="",I112="",AE112="",AG112=""),"",SUM(E112,I112,AE112,AG112))</f>
        <v/>
      </c>
      <c r="C112" s="119" t="n"/>
      <c r="D112" s="84" t="n"/>
      <c r="E112" s="84">
        <f>IF(D112="","",D112*C112)</f>
        <v/>
      </c>
      <c r="F112" s="120">
        <f>IF(B112="","",E112/B112)</f>
        <v/>
      </c>
      <c r="G112" s="127" t="n"/>
      <c r="I112" s="84">
        <f>IF(H112="","",H112*G112)</f>
        <v/>
      </c>
      <c r="J112" s="120">
        <f>IF(B112="","",I112/B112)</f>
        <v/>
      </c>
      <c r="K112" s="121">
        <f>IF(B112="","",F112+J112*3)</f>
        <v/>
      </c>
      <c r="O112" s="122" t="n"/>
      <c r="P112" s="83" t="n"/>
      <c r="V112" s="123">
        <f>IF(OR(B112="",B111=""),"",B112/B111-1)</f>
        <v/>
      </c>
      <c r="W112" s="79">
        <f>IF(B112="","",B112/$B$3-1)</f>
        <v/>
      </c>
      <c r="X112" s="78">
        <f>IF(B112="","",MAX($B$3:B112))</f>
        <v/>
      </c>
      <c r="Y112" s="79">
        <f>IF(OR(B112="",X112=""),"",B112/X112-1)</f>
        <v/>
      </c>
      <c r="Z112" s="78">
        <f>IF(D112="","",$B$3*D112/$D$3)</f>
        <v/>
      </c>
      <c r="AA112" s="79">
        <f>IF(D112="","",D112/$D$3-1)</f>
        <v/>
      </c>
      <c r="AB112" s="79">
        <f>IF(OR(W112="",AA112=""),"",W112-AA112)</f>
        <v/>
      </c>
      <c r="AC112" s="124" t="n"/>
      <c r="AD112" s="125" t="n"/>
      <c r="AE112" s="78">
        <f>IF(AD112="","",AC112*AD112)</f>
        <v/>
      </c>
      <c r="AF112" s="79">
        <f>IF(OR(AE112="",B112="",B112=0),"",AE112/B112)</f>
        <v/>
      </c>
      <c r="AG112" s="125" t="n"/>
      <c r="AH112" s="126" t="n"/>
      <c r="AI112" s="126" t="n"/>
      <c r="AJ112" s="126" t="n"/>
    </row>
    <row r="113" ht="15.75" customHeight="1" s="68">
      <c r="A113" s="117" t="n">
        <v>46395</v>
      </c>
      <c r="B113" s="118">
        <f>IF(AND(E113="",I113="",AE113="",AG113=""),"",SUM(E113,I113,AE113,AG113))</f>
        <v/>
      </c>
      <c r="C113" s="119" t="n"/>
      <c r="D113" s="84" t="n"/>
      <c r="E113" s="84">
        <f>IF(D113="","",D113*C113)</f>
        <v/>
      </c>
      <c r="F113" s="120">
        <f>IF(B113="","",E113/B113)</f>
        <v/>
      </c>
      <c r="G113" s="127" t="n"/>
      <c r="I113" s="84">
        <f>IF(H113="","",H113*G113)</f>
        <v/>
      </c>
      <c r="J113" s="120">
        <f>IF(B113="","",I113/B113)</f>
        <v/>
      </c>
      <c r="K113" s="121">
        <f>IF(B113="","",F113+J113*3)</f>
        <v/>
      </c>
      <c r="O113" s="122" t="n"/>
      <c r="P113" s="83" t="n"/>
      <c r="V113" s="123">
        <f>IF(OR(B113="",B112=""),"",B113/B112-1)</f>
        <v/>
      </c>
      <c r="W113" s="79">
        <f>IF(B113="","",B113/$B$3-1)</f>
        <v/>
      </c>
      <c r="X113" s="78">
        <f>IF(B113="","",MAX($B$3:B113))</f>
        <v/>
      </c>
      <c r="Y113" s="79">
        <f>IF(OR(B113="",X113=""),"",B113/X113-1)</f>
        <v/>
      </c>
      <c r="Z113" s="78">
        <f>IF(D113="","",$B$3*D113/$D$3)</f>
        <v/>
      </c>
      <c r="AA113" s="79">
        <f>IF(D113="","",D113/$D$3-1)</f>
        <v/>
      </c>
      <c r="AB113" s="79">
        <f>IF(OR(W113="",AA113=""),"",W113-AA113)</f>
        <v/>
      </c>
      <c r="AC113" s="124" t="n"/>
      <c r="AD113" s="125" t="n"/>
      <c r="AE113" s="78">
        <f>IF(AD113="","",AC113*AD113)</f>
        <v/>
      </c>
      <c r="AF113" s="79">
        <f>IF(OR(AE113="",B113="",B113=0),"",AE113/B113)</f>
        <v/>
      </c>
      <c r="AG113" s="125" t="n"/>
      <c r="AH113" s="126" t="n"/>
      <c r="AI113" s="126" t="n"/>
      <c r="AJ113" s="126" t="n"/>
    </row>
    <row r="114" ht="15.75" customHeight="1" s="68">
      <c r="A114" s="117" t="n">
        <v>46398</v>
      </c>
      <c r="B114" s="118">
        <f>IF(AND(E114="",I114="",AE114="",AG114=""),"",SUM(E114,I114,AE114,AG114))</f>
        <v/>
      </c>
      <c r="C114" s="119" t="n"/>
      <c r="D114" s="84" t="n"/>
      <c r="E114" s="84">
        <f>IF(D114="","",D114*C114)</f>
        <v/>
      </c>
      <c r="F114" s="120">
        <f>IF(B114="","",E114/B114)</f>
        <v/>
      </c>
      <c r="G114" s="127" t="n"/>
      <c r="I114" s="84">
        <f>IF(H114="","",H114*G114)</f>
        <v/>
      </c>
      <c r="J114" s="120">
        <f>IF(B114="","",I114/B114)</f>
        <v/>
      </c>
      <c r="K114" s="121">
        <f>IF(B114="","",F114+J114*3)</f>
        <v/>
      </c>
      <c r="O114" s="122" t="n"/>
      <c r="P114" s="83" t="n"/>
      <c r="V114" s="123">
        <f>IF(OR(B114="",B113=""),"",B114/B113-1)</f>
        <v/>
      </c>
      <c r="W114" s="79">
        <f>IF(B114="","",B114/$B$3-1)</f>
        <v/>
      </c>
      <c r="X114" s="78">
        <f>IF(B114="","",MAX($B$3:B114))</f>
        <v/>
      </c>
      <c r="Y114" s="79">
        <f>IF(OR(B114="",X114=""),"",B114/X114-1)</f>
        <v/>
      </c>
      <c r="Z114" s="78">
        <f>IF(D114="","",$B$3*D114/$D$3)</f>
        <v/>
      </c>
      <c r="AA114" s="79">
        <f>IF(D114="","",D114/$D$3-1)</f>
        <v/>
      </c>
      <c r="AB114" s="79">
        <f>IF(OR(W114="",AA114=""),"",W114-AA114)</f>
        <v/>
      </c>
      <c r="AC114" s="124" t="n"/>
      <c r="AD114" s="125" t="n"/>
      <c r="AE114" s="78">
        <f>IF(AD114="","",AC114*AD114)</f>
        <v/>
      </c>
      <c r="AF114" s="79">
        <f>IF(OR(AE114="",B114="",B114=0),"",AE114/B114)</f>
        <v/>
      </c>
      <c r="AG114" s="125" t="n"/>
      <c r="AH114" s="126" t="n"/>
      <c r="AI114" s="126" t="n"/>
      <c r="AJ114" s="126" t="n"/>
    </row>
    <row r="115" ht="15.75" customHeight="1" s="68">
      <c r="A115" s="117" t="n">
        <v>46399</v>
      </c>
      <c r="B115" s="118">
        <f>IF(AND(E115="",I115="",AE115="",AG115=""),"",SUM(E115,I115,AE115,AG115))</f>
        <v/>
      </c>
      <c r="C115" s="119" t="n"/>
      <c r="D115" s="84" t="n"/>
      <c r="E115" s="84">
        <f>IF(D115="","",D115*C115)</f>
        <v/>
      </c>
      <c r="F115" s="120">
        <f>IF(B115="","",E115/B115)</f>
        <v/>
      </c>
      <c r="G115" s="127" t="n"/>
      <c r="I115" s="84">
        <f>IF(H115="","",H115*G115)</f>
        <v/>
      </c>
      <c r="J115" s="120">
        <f>IF(B115="","",I115/B115)</f>
        <v/>
      </c>
      <c r="K115" s="121">
        <f>IF(B115="","",F115+J115*3)</f>
        <v/>
      </c>
      <c r="O115" s="122" t="n"/>
      <c r="P115" s="83" t="n"/>
      <c r="V115" s="123">
        <f>IF(OR(B115="",B114=""),"",B115/B114-1)</f>
        <v/>
      </c>
      <c r="W115" s="79">
        <f>IF(B115="","",B115/$B$3-1)</f>
        <v/>
      </c>
      <c r="X115" s="78">
        <f>IF(B115="","",MAX($B$3:B115))</f>
        <v/>
      </c>
      <c r="Y115" s="79">
        <f>IF(OR(B115="",X115=""),"",B115/X115-1)</f>
        <v/>
      </c>
      <c r="Z115" s="78">
        <f>IF(D115="","",$B$3*D115/$D$3)</f>
        <v/>
      </c>
      <c r="AA115" s="79">
        <f>IF(D115="","",D115/$D$3-1)</f>
        <v/>
      </c>
      <c r="AB115" s="79">
        <f>IF(OR(W115="",AA115=""),"",W115-AA115)</f>
        <v/>
      </c>
      <c r="AC115" s="124" t="n"/>
      <c r="AD115" s="125" t="n"/>
      <c r="AE115" s="78">
        <f>IF(AD115="","",AC115*AD115)</f>
        <v/>
      </c>
      <c r="AF115" s="79">
        <f>IF(OR(AE115="",B115="",B115=0),"",AE115/B115)</f>
        <v/>
      </c>
      <c r="AG115" s="125" t="n"/>
      <c r="AH115" s="126" t="n"/>
      <c r="AI115" s="126" t="n"/>
      <c r="AJ115" s="126" t="n"/>
    </row>
    <row r="116" ht="15.75" customHeight="1" s="68">
      <c r="A116" s="117" t="n">
        <v>46400</v>
      </c>
      <c r="B116" s="118">
        <f>IF(AND(E116="",I116="",AE116="",AG116=""),"",SUM(E116,I116,AE116,AG116))</f>
        <v/>
      </c>
      <c r="C116" s="119" t="n"/>
      <c r="D116" s="84" t="n"/>
      <c r="E116" s="84">
        <f>IF(D116="","",D116*C116)</f>
        <v/>
      </c>
      <c r="F116" s="120">
        <f>IF(B116="","",E116/B116)</f>
        <v/>
      </c>
      <c r="G116" s="127" t="n"/>
      <c r="I116" s="84">
        <f>IF(H116="","",H116*G116)</f>
        <v/>
      </c>
      <c r="J116" s="120">
        <f>IF(B116="","",I116/B116)</f>
        <v/>
      </c>
      <c r="K116" s="121">
        <f>IF(B116="","",F116+J116*3)</f>
        <v/>
      </c>
      <c r="O116" s="122" t="n"/>
      <c r="P116" s="83" t="n"/>
      <c r="V116" s="123">
        <f>IF(OR(B116="",B115=""),"",B116/B115-1)</f>
        <v/>
      </c>
      <c r="W116" s="79">
        <f>IF(B116="","",B116/$B$3-1)</f>
        <v/>
      </c>
      <c r="X116" s="78">
        <f>IF(B116="","",MAX($B$3:B116))</f>
        <v/>
      </c>
      <c r="Y116" s="79">
        <f>IF(OR(B116="",X116=""),"",B116/X116-1)</f>
        <v/>
      </c>
      <c r="Z116" s="78">
        <f>IF(D116="","",$B$3*D116/$D$3)</f>
        <v/>
      </c>
      <c r="AA116" s="79">
        <f>IF(D116="","",D116/$D$3-1)</f>
        <v/>
      </c>
      <c r="AB116" s="79">
        <f>IF(OR(W116="",AA116=""),"",W116-AA116)</f>
        <v/>
      </c>
      <c r="AC116" s="124" t="n"/>
      <c r="AD116" s="125" t="n"/>
      <c r="AE116" s="78">
        <f>IF(AD116="","",AC116*AD116)</f>
        <v/>
      </c>
      <c r="AF116" s="79">
        <f>IF(OR(AE116="",B116="",B116=0),"",AE116/B116)</f>
        <v/>
      </c>
      <c r="AG116" s="125" t="n"/>
      <c r="AH116" s="126" t="n"/>
      <c r="AI116" s="126" t="n"/>
      <c r="AJ116" s="126" t="n"/>
    </row>
    <row r="117" ht="15.75" customHeight="1" s="68">
      <c r="A117" s="117" t="n">
        <v>46401</v>
      </c>
      <c r="B117" s="118">
        <f>IF(AND(E117="",I117="",AE117="",AG117=""),"",SUM(E117,I117,AE117,AG117))</f>
        <v/>
      </c>
      <c r="C117" s="119" t="n"/>
      <c r="D117" s="84" t="n"/>
      <c r="E117" s="84">
        <f>IF(D117="","",D117*C117)</f>
        <v/>
      </c>
      <c r="F117" s="120">
        <f>IF(B117="","",E117/B117)</f>
        <v/>
      </c>
      <c r="G117" s="127" t="n"/>
      <c r="I117" s="84">
        <f>IF(H117="","",H117*G117)</f>
        <v/>
      </c>
      <c r="J117" s="120">
        <f>IF(B117="","",I117/B117)</f>
        <v/>
      </c>
      <c r="K117" s="121">
        <f>IF(B117="","",F117+J117*3)</f>
        <v/>
      </c>
      <c r="O117" s="122" t="n"/>
      <c r="P117" s="83" t="n"/>
      <c r="V117" s="123">
        <f>IF(OR(B117="",B116=""),"",B117/B116-1)</f>
        <v/>
      </c>
      <c r="W117" s="79">
        <f>IF(B117="","",B117/$B$3-1)</f>
        <v/>
      </c>
      <c r="X117" s="78">
        <f>IF(B117="","",MAX($B$3:B117))</f>
        <v/>
      </c>
      <c r="Y117" s="79">
        <f>IF(OR(B117="",X117=""),"",B117/X117-1)</f>
        <v/>
      </c>
      <c r="Z117" s="78">
        <f>IF(D117="","",$B$3*D117/$D$3)</f>
        <v/>
      </c>
      <c r="AA117" s="79">
        <f>IF(D117="","",D117/$D$3-1)</f>
        <v/>
      </c>
      <c r="AB117" s="79">
        <f>IF(OR(W117="",AA117=""),"",W117-AA117)</f>
        <v/>
      </c>
      <c r="AC117" s="124" t="n"/>
      <c r="AD117" s="125" t="n"/>
      <c r="AE117" s="78">
        <f>IF(AD117="","",AC117*AD117)</f>
        <v/>
      </c>
      <c r="AF117" s="79">
        <f>IF(OR(AE117="",B117="",B117=0),"",AE117/B117)</f>
        <v/>
      </c>
      <c r="AG117" s="125" t="n"/>
      <c r="AH117" s="126" t="n"/>
      <c r="AI117" s="126" t="n"/>
      <c r="AJ117" s="126" t="n"/>
    </row>
    <row r="118" ht="15.75" customHeight="1" s="68">
      <c r="A118" s="117" t="n">
        <v>46402</v>
      </c>
      <c r="B118" s="118">
        <f>IF(AND(E118="",I118="",AE118="",AG118=""),"",SUM(E118,I118,AE118,AG118))</f>
        <v/>
      </c>
      <c r="C118" s="119" t="n"/>
      <c r="D118" s="84" t="n"/>
      <c r="E118" s="84">
        <f>IF(D118="","",D118*C118)</f>
        <v/>
      </c>
      <c r="F118" s="120">
        <f>IF(B118="","",E118/B118)</f>
        <v/>
      </c>
      <c r="G118" s="127" t="n"/>
      <c r="I118" s="84">
        <f>IF(H118="","",H118*G118)</f>
        <v/>
      </c>
      <c r="J118" s="120">
        <f>IF(B118="","",I118/B118)</f>
        <v/>
      </c>
      <c r="K118" s="121">
        <f>IF(B118="","",F118+J118*3)</f>
        <v/>
      </c>
      <c r="O118" s="122" t="n"/>
      <c r="P118" s="83" t="n"/>
      <c r="V118" s="123">
        <f>IF(OR(B118="",B117=""),"",B118/B117-1)</f>
        <v/>
      </c>
      <c r="W118" s="79">
        <f>IF(B118="","",B118/$B$3-1)</f>
        <v/>
      </c>
      <c r="X118" s="78">
        <f>IF(B118="","",MAX($B$3:B118))</f>
        <v/>
      </c>
      <c r="Y118" s="79">
        <f>IF(OR(B118="",X118=""),"",B118/X118-1)</f>
        <v/>
      </c>
      <c r="Z118" s="78">
        <f>IF(D118="","",$B$3*D118/$D$3)</f>
        <v/>
      </c>
      <c r="AA118" s="79">
        <f>IF(D118="","",D118/$D$3-1)</f>
        <v/>
      </c>
      <c r="AB118" s="79">
        <f>IF(OR(W118="",AA118=""),"",W118-AA118)</f>
        <v/>
      </c>
      <c r="AC118" s="124" t="n"/>
      <c r="AD118" s="125" t="n"/>
      <c r="AE118" s="78">
        <f>IF(AD118="","",AC118*AD118)</f>
        <v/>
      </c>
      <c r="AF118" s="79">
        <f>IF(OR(AE118="",B118="",B118=0),"",AE118/B118)</f>
        <v/>
      </c>
      <c r="AG118" s="125" t="n"/>
      <c r="AH118" s="126" t="n"/>
      <c r="AI118" s="126" t="n"/>
      <c r="AJ118" s="126" t="n"/>
    </row>
    <row r="119" ht="15.75" customHeight="1" s="68">
      <c r="A119" s="117" t="n">
        <v>46406</v>
      </c>
      <c r="B119" s="118">
        <f>IF(AND(E119="",I119="",AE119="",AG119=""),"",SUM(E119,I119,AE119,AG119))</f>
        <v/>
      </c>
      <c r="C119" s="119" t="n"/>
      <c r="D119" s="84" t="n"/>
      <c r="E119" s="84">
        <f>IF(D119="","",D119*C119)</f>
        <v/>
      </c>
      <c r="F119" s="120">
        <f>IF(B119="","",E119/B119)</f>
        <v/>
      </c>
      <c r="G119" s="127" t="n"/>
      <c r="I119" s="84">
        <f>IF(H119="","",H119*G119)</f>
        <v/>
      </c>
      <c r="J119" s="120">
        <f>IF(B119="","",I119/B119)</f>
        <v/>
      </c>
      <c r="K119" s="121">
        <f>IF(B119="","",F119+J119*3)</f>
        <v/>
      </c>
      <c r="O119" s="122" t="n"/>
      <c r="P119" s="83" t="n"/>
      <c r="V119" s="123">
        <f>IF(OR(B119="",B118=""),"",B119/B118-1)</f>
        <v/>
      </c>
      <c r="W119" s="79">
        <f>IF(B119="","",B119/$B$3-1)</f>
        <v/>
      </c>
      <c r="X119" s="78">
        <f>IF(B119="","",MAX($B$3:B119))</f>
        <v/>
      </c>
      <c r="Y119" s="79">
        <f>IF(OR(B119="",X119=""),"",B119/X119-1)</f>
        <v/>
      </c>
      <c r="Z119" s="78">
        <f>IF(D119="","",$B$3*D119/$D$3)</f>
        <v/>
      </c>
      <c r="AA119" s="79">
        <f>IF(D119="","",D119/$D$3-1)</f>
        <v/>
      </c>
      <c r="AB119" s="79">
        <f>IF(OR(W119="",AA119=""),"",W119-AA119)</f>
        <v/>
      </c>
      <c r="AC119" s="124" t="n"/>
      <c r="AD119" s="125" t="n"/>
      <c r="AE119" s="78">
        <f>IF(AD119="","",AC119*AD119)</f>
        <v/>
      </c>
      <c r="AF119" s="79">
        <f>IF(OR(AE119="",B119="",B119=0),"",AE119/B119)</f>
        <v/>
      </c>
      <c r="AG119" s="125" t="n"/>
      <c r="AH119" s="126" t="n"/>
      <c r="AI119" s="126" t="n"/>
      <c r="AJ119" s="126" t="n"/>
    </row>
    <row r="120" ht="15.75" customHeight="1" s="68">
      <c r="A120" s="117" t="n">
        <v>46407</v>
      </c>
      <c r="B120" s="118">
        <f>IF(AND(E120="",I120="",AE120="",AG120=""),"",SUM(E120,I120,AE120,AG120))</f>
        <v/>
      </c>
      <c r="C120" s="119" t="n"/>
      <c r="D120" s="84" t="n"/>
      <c r="E120" s="84">
        <f>IF(D120="","",D120*C120)</f>
        <v/>
      </c>
      <c r="F120" s="120">
        <f>IF(B120="","",E120/B120)</f>
        <v/>
      </c>
      <c r="G120" s="127" t="n"/>
      <c r="I120" s="84">
        <f>IF(H120="","",H120*G120)</f>
        <v/>
      </c>
      <c r="J120" s="120">
        <f>IF(B120="","",I120/B120)</f>
        <v/>
      </c>
      <c r="K120" s="121">
        <f>IF(B120="","",F120+J120*3)</f>
        <v/>
      </c>
      <c r="O120" s="122" t="n"/>
      <c r="P120" s="83" t="n"/>
      <c r="V120" s="123">
        <f>IF(OR(B120="",B119=""),"",B120/B119-1)</f>
        <v/>
      </c>
      <c r="W120" s="79">
        <f>IF(B120="","",B120/$B$3-1)</f>
        <v/>
      </c>
      <c r="X120" s="78">
        <f>IF(B120="","",MAX($B$3:B120))</f>
        <v/>
      </c>
      <c r="Y120" s="79">
        <f>IF(OR(B120="",X120=""),"",B120/X120-1)</f>
        <v/>
      </c>
      <c r="Z120" s="78">
        <f>IF(D120="","",$B$3*D120/$D$3)</f>
        <v/>
      </c>
      <c r="AA120" s="79">
        <f>IF(D120="","",D120/$D$3-1)</f>
        <v/>
      </c>
      <c r="AB120" s="79">
        <f>IF(OR(W120="",AA120=""),"",W120-AA120)</f>
        <v/>
      </c>
      <c r="AC120" s="124" t="n"/>
      <c r="AD120" s="125" t="n"/>
      <c r="AE120" s="78">
        <f>IF(AD120="","",AC120*AD120)</f>
        <v/>
      </c>
      <c r="AF120" s="79">
        <f>IF(OR(AE120="",B120="",B120=0),"",AE120/B120)</f>
        <v/>
      </c>
      <c r="AG120" s="125" t="n"/>
      <c r="AH120" s="126" t="n"/>
      <c r="AI120" s="126" t="n"/>
      <c r="AJ120" s="126" t="n"/>
    </row>
    <row r="121" ht="15.75" customHeight="1" s="68">
      <c r="A121" s="117" t="n">
        <v>46408</v>
      </c>
      <c r="B121" s="118">
        <f>IF(AND(E121="",I121="",AE121="",AG121=""),"",SUM(E121,I121,AE121,AG121))</f>
        <v/>
      </c>
      <c r="C121" s="119" t="n"/>
      <c r="D121" s="84" t="n"/>
      <c r="E121" s="84">
        <f>IF(D121="","",D121*C121)</f>
        <v/>
      </c>
      <c r="F121" s="120">
        <f>IF(B121="","",E121/B121)</f>
        <v/>
      </c>
      <c r="G121" s="127" t="n"/>
      <c r="I121" s="84">
        <f>IF(H121="","",H121*G121)</f>
        <v/>
      </c>
      <c r="J121" s="120">
        <f>IF(B121="","",I121/B121)</f>
        <v/>
      </c>
      <c r="K121" s="121">
        <f>IF(B121="","",F121+J121*3)</f>
        <v/>
      </c>
      <c r="O121" s="122" t="n"/>
      <c r="P121" s="83" t="n"/>
      <c r="V121" s="123">
        <f>IF(OR(B121="",B120=""),"",B121/B120-1)</f>
        <v/>
      </c>
      <c r="W121" s="79">
        <f>IF(B121="","",B121/$B$3-1)</f>
        <v/>
      </c>
      <c r="X121" s="78">
        <f>IF(B121="","",MAX($B$3:B121))</f>
        <v/>
      </c>
      <c r="Y121" s="79">
        <f>IF(OR(B121="",X121=""),"",B121/X121-1)</f>
        <v/>
      </c>
      <c r="Z121" s="78">
        <f>IF(D121="","",$B$3*D121/$D$3)</f>
        <v/>
      </c>
      <c r="AA121" s="79">
        <f>IF(D121="","",D121/$D$3-1)</f>
        <v/>
      </c>
      <c r="AB121" s="79">
        <f>IF(OR(W121="",AA121=""),"",W121-AA121)</f>
        <v/>
      </c>
      <c r="AC121" s="124" t="n"/>
      <c r="AD121" s="125" t="n"/>
      <c r="AE121" s="78">
        <f>IF(AD121="","",AC121*AD121)</f>
        <v/>
      </c>
      <c r="AF121" s="79">
        <f>IF(OR(AE121="",B121="",B121=0),"",AE121/B121)</f>
        <v/>
      </c>
      <c r="AG121" s="125" t="n"/>
      <c r="AH121" s="126" t="n"/>
      <c r="AI121" s="126" t="n"/>
      <c r="AJ121" s="126" t="n"/>
    </row>
    <row r="122" ht="15.75" customHeight="1" s="68">
      <c r="A122" s="117" t="n">
        <v>46409</v>
      </c>
      <c r="B122" s="118">
        <f>IF(AND(E122="",I122="",AE122="",AG122=""),"",SUM(E122,I122,AE122,AG122))</f>
        <v/>
      </c>
      <c r="C122" s="119" t="n"/>
      <c r="D122" s="84" t="n"/>
      <c r="E122" s="84">
        <f>IF(D122="","",D122*C122)</f>
        <v/>
      </c>
      <c r="F122" s="120">
        <f>IF(B122="","",E122/B122)</f>
        <v/>
      </c>
      <c r="G122" s="127" t="n"/>
      <c r="I122" s="84">
        <f>IF(H122="","",H122*G122)</f>
        <v/>
      </c>
      <c r="J122" s="120">
        <f>IF(B122="","",I122/B122)</f>
        <v/>
      </c>
      <c r="K122" s="121">
        <f>IF(B122="","",F122+J122*3)</f>
        <v/>
      </c>
      <c r="O122" s="122" t="n"/>
      <c r="P122" s="83" t="n"/>
      <c r="V122" s="123">
        <f>IF(OR(B122="",B121=""),"",B122/B121-1)</f>
        <v/>
      </c>
      <c r="W122" s="79">
        <f>IF(B122="","",B122/$B$3-1)</f>
        <v/>
      </c>
      <c r="X122" s="78">
        <f>IF(B122="","",MAX($B$3:B122))</f>
        <v/>
      </c>
      <c r="Y122" s="79">
        <f>IF(OR(B122="",X122=""),"",B122/X122-1)</f>
        <v/>
      </c>
      <c r="Z122" s="78">
        <f>IF(D122="","",$B$3*D122/$D$3)</f>
        <v/>
      </c>
      <c r="AA122" s="79">
        <f>IF(D122="","",D122/$D$3-1)</f>
        <v/>
      </c>
      <c r="AB122" s="79">
        <f>IF(OR(W122="",AA122=""),"",W122-AA122)</f>
        <v/>
      </c>
      <c r="AC122" s="124" t="n"/>
      <c r="AD122" s="125" t="n"/>
      <c r="AE122" s="78">
        <f>IF(AD122="","",AC122*AD122)</f>
        <v/>
      </c>
      <c r="AF122" s="79">
        <f>IF(OR(AE122="",B122="",B122=0),"",AE122/B122)</f>
        <v/>
      </c>
      <c r="AG122" s="125" t="n"/>
      <c r="AH122" s="126" t="n"/>
      <c r="AI122" s="126" t="n"/>
      <c r="AJ122" s="126" t="n"/>
    </row>
    <row r="123" ht="15.75" customHeight="1" s="68">
      <c r="A123" s="117" t="n">
        <v>46412</v>
      </c>
      <c r="B123" s="118">
        <f>IF(AND(E123="",I123="",AE123="",AG123=""),"",SUM(E123,I123,AE123,AG123))</f>
        <v/>
      </c>
      <c r="C123" s="119" t="n"/>
      <c r="D123" s="84" t="n"/>
      <c r="E123" s="84">
        <f>IF(D123="","",D123*C123)</f>
        <v/>
      </c>
      <c r="F123" s="120">
        <f>IF(B123="","",E123/B123)</f>
        <v/>
      </c>
      <c r="G123" s="127" t="n"/>
      <c r="I123" s="84">
        <f>IF(H123="","",H123*G123)</f>
        <v/>
      </c>
      <c r="J123" s="120">
        <f>IF(B123="","",I123/B123)</f>
        <v/>
      </c>
      <c r="K123" s="121">
        <f>IF(B123="","",F123+J123*3)</f>
        <v/>
      </c>
      <c r="O123" s="122" t="n"/>
      <c r="P123" s="83" t="n"/>
      <c r="V123" s="123">
        <f>IF(OR(B123="",B122=""),"",B123/B122-1)</f>
        <v/>
      </c>
      <c r="W123" s="79">
        <f>IF(B123="","",B123/$B$3-1)</f>
        <v/>
      </c>
      <c r="X123" s="78">
        <f>IF(B123="","",MAX($B$3:B123))</f>
        <v/>
      </c>
      <c r="Y123" s="79">
        <f>IF(OR(B123="",X123=""),"",B123/X123-1)</f>
        <v/>
      </c>
      <c r="Z123" s="78">
        <f>IF(D123="","",$B$3*D123/$D$3)</f>
        <v/>
      </c>
      <c r="AA123" s="79">
        <f>IF(D123="","",D123/$D$3-1)</f>
        <v/>
      </c>
      <c r="AB123" s="79">
        <f>IF(OR(W123="",AA123=""),"",W123-AA123)</f>
        <v/>
      </c>
      <c r="AC123" s="124" t="n"/>
      <c r="AD123" s="125" t="n"/>
      <c r="AE123" s="78">
        <f>IF(AD123="","",AC123*AD123)</f>
        <v/>
      </c>
      <c r="AF123" s="79">
        <f>IF(OR(AE123="",B123="",B123=0),"",AE123/B123)</f>
        <v/>
      </c>
      <c r="AG123" s="125" t="n"/>
      <c r="AH123" s="126" t="n"/>
      <c r="AI123" s="126" t="n"/>
      <c r="AJ123" s="126" t="n"/>
    </row>
    <row r="124" ht="15.75" customHeight="1" s="68">
      <c r="A124" s="117" t="n">
        <v>46413</v>
      </c>
      <c r="B124" s="118">
        <f>IF(AND(E124="",I124="",AE124="",AG124=""),"",SUM(E124,I124,AE124,AG124))</f>
        <v/>
      </c>
      <c r="C124" s="119" t="n"/>
      <c r="D124" s="84" t="n"/>
      <c r="E124" s="84">
        <f>IF(D124="","",D124*C124)</f>
        <v/>
      </c>
      <c r="F124" s="120">
        <f>IF(B124="","",E124/B124)</f>
        <v/>
      </c>
      <c r="G124" s="127" t="n"/>
      <c r="I124" s="84">
        <f>IF(H124="","",H124*G124)</f>
        <v/>
      </c>
      <c r="J124" s="120">
        <f>IF(B124="","",I124/B124)</f>
        <v/>
      </c>
      <c r="K124" s="121">
        <f>IF(B124="","",F124+J124*3)</f>
        <v/>
      </c>
      <c r="O124" s="122" t="n"/>
      <c r="P124" s="83" t="n"/>
      <c r="V124" s="123">
        <f>IF(OR(B124="",B123=""),"",B124/B123-1)</f>
        <v/>
      </c>
      <c r="W124" s="79">
        <f>IF(B124="","",B124/$B$3-1)</f>
        <v/>
      </c>
      <c r="X124" s="78">
        <f>IF(B124="","",MAX($B$3:B124))</f>
        <v/>
      </c>
      <c r="Y124" s="79">
        <f>IF(OR(B124="",X124=""),"",B124/X124-1)</f>
        <v/>
      </c>
      <c r="Z124" s="78">
        <f>IF(D124="","",$B$3*D124/$D$3)</f>
        <v/>
      </c>
      <c r="AA124" s="79">
        <f>IF(D124="","",D124/$D$3-1)</f>
        <v/>
      </c>
      <c r="AB124" s="79">
        <f>IF(OR(W124="",AA124=""),"",W124-AA124)</f>
        <v/>
      </c>
      <c r="AC124" s="124" t="n"/>
      <c r="AD124" s="125" t="n"/>
      <c r="AE124" s="78">
        <f>IF(AD124="","",AC124*AD124)</f>
        <v/>
      </c>
      <c r="AF124" s="79">
        <f>IF(OR(AE124="",B124="",B124=0),"",AE124/B124)</f>
        <v/>
      </c>
      <c r="AG124" s="125" t="n"/>
      <c r="AH124" s="126" t="n"/>
      <c r="AI124" s="126" t="n"/>
      <c r="AJ124" s="126" t="n"/>
    </row>
    <row r="125" ht="15.75" customHeight="1" s="68">
      <c r="A125" s="117" t="n">
        <v>46414</v>
      </c>
      <c r="B125" s="118">
        <f>IF(AND(E125="",I125="",AE125="",AG125=""),"",SUM(E125,I125,AE125,AG125))</f>
        <v/>
      </c>
      <c r="C125" s="119" t="n"/>
      <c r="D125" s="84" t="n"/>
      <c r="E125" s="84">
        <f>IF(D125="","",D125*C125)</f>
        <v/>
      </c>
      <c r="F125" s="120">
        <f>IF(B125="","",E125/B125)</f>
        <v/>
      </c>
      <c r="G125" s="127" t="n"/>
      <c r="I125" s="84">
        <f>IF(H125="","",H125*G125)</f>
        <v/>
      </c>
      <c r="J125" s="120">
        <f>IF(B125="","",I125/B125)</f>
        <v/>
      </c>
      <c r="K125" s="121">
        <f>IF(B125="","",F125+J125*3)</f>
        <v/>
      </c>
      <c r="O125" s="122" t="n"/>
      <c r="P125" s="83" t="n"/>
      <c r="V125" s="123">
        <f>IF(OR(B125="",B124=""),"",B125/B124-1)</f>
        <v/>
      </c>
      <c r="W125" s="79">
        <f>IF(B125="","",B125/$B$3-1)</f>
        <v/>
      </c>
      <c r="X125" s="78">
        <f>IF(B125="","",MAX($B$3:B125))</f>
        <v/>
      </c>
      <c r="Y125" s="79">
        <f>IF(OR(B125="",X125=""),"",B125/X125-1)</f>
        <v/>
      </c>
      <c r="Z125" s="78">
        <f>IF(D125="","",$B$3*D125/$D$3)</f>
        <v/>
      </c>
      <c r="AA125" s="79">
        <f>IF(D125="","",D125/$D$3-1)</f>
        <v/>
      </c>
      <c r="AB125" s="79">
        <f>IF(OR(W125="",AA125=""),"",W125-AA125)</f>
        <v/>
      </c>
      <c r="AC125" s="124" t="n"/>
      <c r="AD125" s="125" t="n"/>
      <c r="AE125" s="78">
        <f>IF(AD125="","",AC125*AD125)</f>
        <v/>
      </c>
      <c r="AF125" s="79">
        <f>IF(OR(AE125="",B125="",B125=0),"",AE125/B125)</f>
        <v/>
      </c>
      <c r="AG125" s="125" t="n"/>
      <c r="AH125" s="126" t="n"/>
      <c r="AI125" s="126" t="n"/>
      <c r="AJ125" s="126" t="n"/>
    </row>
    <row r="126" ht="15.75" customHeight="1" s="68">
      <c r="A126" s="117" t="n">
        <v>46415</v>
      </c>
      <c r="B126" s="118">
        <f>IF(AND(E126="",I126="",AE126="",AG126=""),"",SUM(E126,I126,AE126,AG126))</f>
        <v/>
      </c>
      <c r="C126" s="119" t="n"/>
      <c r="D126" s="84" t="n"/>
      <c r="E126" s="84">
        <f>IF(D126="","",D126*C126)</f>
        <v/>
      </c>
      <c r="F126" s="120">
        <f>IF(B126="","",E126/B126)</f>
        <v/>
      </c>
      <c r="G126" s="127" t="n"/>
      <c r="I126" s="84">
        <f>IF(H126="","",H126*G126)</f>
        <v/>
      </c>
      <c r="J126" s="120">
        <f>IF(B126="","",I126/B126)</f>
        <v/>
      </c>
      <c r="K126" s="121">
        <f>IF(B126="","",F126+J126*3)</f>
        <v/>
      </c>
      <c r="O126" s="122" t="n"/>
      <c r="P126" s="83" t="n"/>
      <c r="V126" s="123">
        <f>IF(OR(B126="",B125=""),"",B126/B125-1)</f>
        <v/>
      </c>
      <c r="W126" s="79">
        <f>IF(B126="","",B126/$B$3-1)</f>
        <v/>
      </c>
      <c r="X126" s="78">
        <f>IF(B126="","",MAX($B$3:B126))</f>
        <v/>
      </c>
      <c r="Y126" s="79">
        <f>IF(OR(B126="",X126=""),"",B126/X126-1)</f>
        <v/>
      </c>
      <c r="Z126" s="78">
        <f>IF(D126="","",$B$3*D126/$D$3)</f>
        <v/>
      </c>
      <c r="AA126" s="79">
        <f>IF(D126="","",D126/$D$3-1)</f>
        <v/>
      </c>
      <c r="AB126" s="79">
        <f>IF(OR(W126="",AA126=""),"",W126-AA126)</f>
        <v/>
      </c>
      <c r="AC126" s="124" t="n"/>
      <c r="AD126" s="125" t="n"/>
      <c r="AE126" s="78">
        <f>IF(AD126="","",AC126*AD126)</f>
        <v/>
      </c>
      <c r="AF126" s="79">
        <f>IF(OR(AE126="",B126="",B126=0),"",AE126/B126)</f>
        <v/>
      </c>
      <c r="AG126" s="125" t="n"/>
      <c r="AH126" s="126" t="n"/>
      <c r="AI126" s="126" t="n"/>
      <c r="AJ126" s="126" t="n"/>
    </row>
    <row r="127" ht="15.75" customHeight="1" s="68">
      <c r="A127" s="117" t="n">
        <v>46416</v>
      </c>
      <c r="B127" s="118">
        <f>IF(AND(E127="",I127="",AE127="",AG127=""),"",SUM(E127,I127,AE127,AG127))</f>
        <v/>
      </c>
      <c r="C127" s="119" t="n"/>
      <c r="D127" s="84" t="n"/>
      <c r="E127" s="84">
        <f>IF(D127="","",D127*C127)</f>
        <v/>
      </c>
      <c r="F127" s="120">
        <f>IF(B127="","",E127/B127)</f>
        <v/>
      </c>
      <c r="G127" s="127" t="n"/>
      <c r="I127" s="84">
        <f>IF(H127="","",H127*G127)</f>
        <v/>
      </c>
      <c r="J127" s="120">
        <f>IF(B127="","",I127/B127)</f>
        <v/>
      </c>
      <c r="K127" s="121">
        <f>IF(B127="","",F127+J127*3)</f>
        <v/>
      </c>
      <c r="O127" s="122" t="n"/>
      <c r="P127" s="83" t="n"/>
      <c r="V127" s="123">
        <f>IF(OR(B127="",B126=""),"",B127/B126-1)</f>
        <v/>
      </c>
      <c r="W127" s="79">
        <f>IF(B127="","",B127/$B$3-1)</f>
        <v/>
      </c>
      <c r="X127" s="78">
        <f>IF(B127="","",MAX($B$3:B127))</f>
        <v/>
      </c>
      <c r="Y127" s="79">
        <f>IF(OR(B127="",X127=""),"",B127/X127-1)</f>
        <v/>
      </c>
      <c r="Z127" s="78">
        <f>IF(D127="","",$B$3*D127/$D$3)</f>
        <v/>
      </c>
      <c r="AA127" s="79">
        <f>IF(D127="","",D127/$D$3-1)</f>
        <v/>
      </c>
      <c r="AB127" s="79">
        <f>IF(OR(W127="",AA127=""),"",W127-AA127)</f>
        <v/>
      </c>
      <c r="AC127" s="124" t="n"/>
      <c r="AD127" s="125" t="n"/>
      <c r="AE127" s="78">
        <f>IF(AD127="","",AC127*AD127)</f>
        <v/>
      </c>
      <c r="AF127" s="79">
        <f>IF(OR(AE127="",B127="",B127=0),"",AE127/B127)</f>
        <v/>
      </c>
      <c r="AG127" s="125" t="n"/>
      <c r="AH127" s="126" t="n"/>
      <c r="AI127" s="126" t="n"/>
      <c r="AJ127" s="126" t="n"/>
    </row>
    <row r="128" ht="15.75" customHeight="1" s="68">
      <c r="A128" s="117" t="n">
        <v>46419</v>
      </c>
      <c r="B128" s="118">
        <f>IF(AND(E128="",I128="",AE128="",AG128=""),"",SUM(E128,I128,AE128,AG128))</f>
        <v/>
      </c>
      <c r="C128" s="119" t="n"/>
      <c r="D128" s="84" t="n"/>
      <c r="E128" s="84">
        <f>IF(D128="","",D128*C128)</f>
        <v/>
      </c>
      <c r="F128" s="120">
        <f>IF(B128="","",E128/B128)</f>
        <v/>
      </c>
      <c r="G128" s="127" t="n"/>
      <c r="I128" s="84">
        <f>IF(H128="","",H128*G128)</f>
        <v/>
      </c>
      <c r="J128" s="120">
        <f>IF(B128="","",I128/B128)</f>
        <v/>
      </c>
      <c r="K128" s="121">
        <f>IF(B128="","",F128+J128*3)</f>
        <v/>
      </c>
      <c r="O128" s="122" t="n"/>
      <c r="P128" s="83" t="n"/>
      <c r="V128" s="123">
        <f>IF(OR(B128="",B127=""),"",B128/B127-1)</f>
        <v/>
      </c>
      <c r="W128" s="79">
        <f>IF(B128="","",B128/$B$3-1)</f>
        <v/>
      </c>
      <c r="X128" s="78">
        <f>IF(B128="","",MAX($B$3:B128))</f>
        <v/>
      </c>
      <c r="Y128" s="79">
        <f>IF(OR(B128="",X128=""),"",B128/X128-1)</f>
        <v/>
      </c>
      <c r="Z128" s="78">
        <f>IF(D128="","",$B$3*D128/$D$3)</f>
        <v/>
      </c>
      <c r="AA128" s="79">
        <f>IF(D128="","",D128/$D$3-1)</f>
        <v/>
      </c>
      <c r="AB128" s="79">
        <f>IF(OR(W128="",AA128=""),"",W128-AA128)</f>
        <v/>
      </c>
      <c r="AC128" s="124" t="n"/>
      <c r="AD128" s="125" t="n"/>
      <c r="AE128" s="78">
        <f>IF(AD128="","",AC128*AD128)</f>
        <v/>
      </c>
      <c r="AF128" s="79">
        <f>IF(OR(AE128="",B128="",B128=0),"",AE128/B128)</f>
        <v/>
      </c>
      <c r="AG128" s="125" t="n"/>
      <c r="AH128" s="126" t="n"/>
      <c r="AI128" s="126" t="n"/>
      <c r="AJ128" s="126" t="n"/>
    </row>
    <row r="129" ht="15.75" customHeight="1" s="68">
      <c r="A129" s="117" t="n">
        <v>46420</v>
      </c>
      <c r="B129" s="118">
        <f>IF(AND(E129="",I129="",AE129="",AG129=""),"",SUM(E129,I129,AE129,AG129))</f>
        <v/>
      </c>
      <c r="C129" s="119" t="n"/>
      <c r="D129" s="84" t="n"/>
      <c r="E129" s="84">
        <f>IF(D129="","",D129*C129)</f>
        <v/>
      </c>
      <c r="F129" s="120">
        <f>IF(B129="","",E129/B129)</f>
        <v/>
      </c>
      <c r="G129" s="127" t="n"/>
      <c r="I129" s="84">
        <f>IF(H129="","",H129*G129)</f>
        <v/>
      </c>
      <c r="J129" s="120">
        <f>IF(B129="","",I129/B129)</f>
        <v/>
      </c>
      <c r="K129" s="121">
        <f>IF(B129="","",F129+J129*3)</f>
        <v/>
      </c>
      <c r="O129" s="122" t="n"/>
      <c r="P129" s="83" t="n"/>
      <c r="V129" s="123">
        <f>IF(OR(B129="",B128=""),"",B129/B128-1)</f>
        <v/>
      </c>
      <c r="W129" s="79">
        <f>IF(B129="","",B129/$B$3-1)</f>
        <v/>
      </c>
      <c r="X129" s="78">
        <f>IF(B129="","",MAX($B$3:B129))</f>
        <v/>
      </c>
      <c r="Y129" s="79">
        <f>IF(OR(B129="",X129=""),"",B129/X129-1)</f>
        <v/>
      </c>
      <c r="Z129" s="78">
        <f>IF(D129="","",$B$3*D129/$D$3)</f>
        <v/>
      </c>
      <c r="AA129" s="79">
        <f>IF(D129="","",D129/$D$3-1)</f>
        <v/>
      </c>
      <c r="AB129" s="79">
        <f>IF(OR(W129="",AA129=""),"",W129-AA129)</f>
        <v/>
      </c>
      <c r="AC129" s="124" t="n"/>
      <c r="AD129" s="125" t="n"/>
      <c r="AE129" s="78">
        <f>IF(AD129="","",AC129*AD129)</f>
        <v/>
      </c>
      <c r="AF129" s="79">
        <f>IF(OR(AE129="",B129="",B129=0),"",AE129/B129)</f>
        <v/>
      </c>
      <c r="AG129" s="125" t="n"/>
      <c r="AH129" s="126" t="n"/>
      <c r="AI129" s="126" t="n"/>
      <c r="AJ129" s="126" t="n"/>
    </row>
    <row r="130" ht="15.75" customHeight="1" s="68">
      <c r="A130" s="117" t="n">
        <v>46421</v>
      </c>
      <c r="B130" s="118">
        <f>IF(AND(E130="",I130="",AE130="",AG130=""),"",SUM(E130,I130,AE130,AG130))</f>
        <v/>
      </c>
      <c r="C130" s="119" t="n"/>
      <c r="D130" s="84" t="n"/>
      <c r="E130" s="84">
        <f>IF(D130="","",D130*C130)</f>
        <v/>
      </c>
      <c r="F130" s="120">
        <f>IF(B130="","",E130/B130)</f>
        <v/>
      </c>
      <c r="G130" s="127" t="n"/>
      <c r="I130" s="84">
        <f>IF(H130="","",H130*G130)</f>
        <v/>
      </c>
      <c r="J130" s="120">
        <f>IF(B130="","",I130/B130)</f>
        <v/>
      </c>
      <c r="K130" s="121">
        <f>IF(B130="","",F130+J130*3)</f>
        <v/>
      </c>
      <c r="O130" s="122" t="n"/>
      <c r="P130" s="83" t="n"/>
      <c r="V130" s="123">
        <f>IF(OR(B130="",B129=""),"",B130/B129-1)</f>
        <v/>
      </c>
      <c r="W130" s="79">
        <f>IF(B130="","",B130/$B$3-1)</f>
        <v/>
      </c>
      <c r="X130" s="78">
        <f>IF(B130="","",MAX($B$3:B130))</f>
        <v/>
      </c>
      <c r="Y130" s="79">
        <f>IF(OR(B130="",X130=""),"",B130/X130-1)</f>
        <v/>
      </c>
      <c r="Z130" s="78">
        <f>IF(D130="","",$B$3*D130/$D$3)</f>
        <v/>
      </c>
      <c r="AA130" s="79">
        <f>IF(D130="","",D130/$D$3-1)</f>
        <v/>
      </c>
      <c r="AB130" s="79">
        <f>IF(OR(W130="",AA130=""),"",W130-AA130)</f>
        <v/>
      </c>
      <c r="AC130" s="124" t="n"/>
      <c r="AD130" s="125" t="n"/>
      <c r="AE130" s="78">
        <f>IF(AD130="","",AC130*AD130)</f>
        <v/>
      </c>
      <c r="AF130" s="79">
        <f>IF(OR(AE130="",B130="",B130=0),"",AE130/B130)</f>
        <v/>
      </c>
      <c r="AG130" s="125" t="n"/>
      <c r="AH130" s="126" t="n"/>
      <c r="AI130" s="126" t="n"/>
      <c r="AJ130" s="126" t="n"/>
    </row>
    <row r="131" ht="15.75" customHeight="1" s="68">
      <c r="A131" s="117" t="n">
        <v>46422</v>
      </c>
      <c r="B131" s="118">
        <f>IF(AND(E131="",I131="",AE131="",AG131=""),"",SUM(E131,I131,AE131,AG131))</f>
        <v/>
      </c>
      <c r="C131" s="119" t="n"/>
      <c r="D131" s="84" t="n"/>
      <c r="E131" s="84">
        <f>IF(D131="","",D131*C131)</f>
        <v/>
      </c>
      <c r="F131" s="120">
        <f>IF(B131="","",E131/B131)</f>
        <v/>
      </c>
      <c r="G131" s="127" t="n"/>
      <c r="I131" s="84">
        <f>IF(H131="","",H131*G131)</f>
        <v/>
      </c>
      <c r="J131" s="120">
        <f>IF(B131="","",I131/B131)</f>
        <v/>
      </c>
      <c r="K131" s="121">
        <f>IF(B131="","",F131+J131*3)</f>
        <v/>
      </c>
      <c r="O131" s="122" t="n"/>
      <c r="P131" s="83" t="n"/>
      <c r="V131" s="123">
        <f>IF(OR(B131="",B130=""),"",B131/B130-1)</f>
        <v/>
      </c>
      <c r="W131" s="79">
        <f>IF(B131="","",B131/$B$3-1)</f>
        <v/>
      </c>
      <c r="X131" s="78">
        <f>IF(B131="","",MAX($B$3:B131))</f>
        <v/>
      </c>
      <c r="Y131" s="79">
        <f>IF(OR(B131="",X131=""),"",B131/X131-1)</f>
        <v/>
      </c>
      <c r="Z131" s="78">
        <f>IF(D131="","",$B$3*D131/$D$3)</f>
        <v/>
      </c>
      <c r="AA131" s="79">
        <f>IF(D131="","",D131/$D$3-1)</f>
        <v/>
      </c>
      <c r="AB131" s="79">
        <f>IF(OR(W131="",AA131=""),"",W131-AA131)</f>
        <v/>
      </c>
      <c r="AC131" s="124" t="n"/>
      <c r="AD131" s="125" t="n"/>
      <c r="AE131" s="78">
        <f>IF(AD131="","",AC131*AD131)</f>
        <v/>
      </c>
      <c r="AF131" s="79">
        <f>IF(OR(AE131="",B131="",B131=0),"",AE131/B131)</f>
        <v/>
      </c>
      <c r="AG131" s="125" t="n"/>
      <c r="AH131" s="126" t="n"/>
      <c r="AI131" s="126" t="n"/>
      <c r="AJ131" s="126" t="n"/>
    </row>
    <row r="132" ht="15.75" customHeight="1" s="68">
      <c r="A132" s="117" t="n">
        <v>46423</v>
      </c>
      <c r="B132" s="118">
        <f>IF(AND(E132="",I132="",AE132="",AG132=""),"",SUM(E132,I132,AE132,AG132))</f>
        <v/>
      </c>
      <c r="C132" s="119" t="n"/>
      <c r="D132" s="84" t="n"/>
      <c r="E132" s="84">
        <f>IF(D132="","",D132*C132)</f>
        <v/>
      </c>
      <c r="F132" s="120">
        <f>IF(B132="","",E132/B132)</f>
        <v/>
      </c>
      <c r="G132" s="127" t="n"/>
      <c r="I132" s="84">
        <f>IF(H132="","",H132*G132)</f>
        <v/>
      </c>
      <c r="J132" s="120">
        <f>IF(B132="","",I132/B132)</f>
        <v/>
      </c>
      <c r="K132" s="121">
        <f>IF(B132="","",F132+J132*3)</f>
        <v/>
      </c>
      <c r="O132" s="122" t="n"/>
      <c r="P132" s="83" t="n"/>
      <c r="V132" s="123">
        <f>IF(OR(B132="",B131=""),"",B132/B131-1)</f>
        <v/>
      </c>
      <c r="W132" s="79">
        <f>IF(B132="","",B132/$B$3-1)</f>
        <v/>
      </c>
      <c r="X132" s="78">
        <f>IF(B132="","",MAX($B$3:B132))</f>
        <v/>
      </c>
      <c r="Y132" s="79">
        <f>IF(OR(B132="",X132=""),"",B132/X132-1)</f>
        <v/>
      </c>
      <c r="Z132" s="78">
        <f>IF(D132="","",$B$3*D132/$D$3)</f>
        <v/>
      </c>
      <c r="AA132" s="79">
        <f>IF(D132="","",D132/$D$3-1)</f>
        <v/>
      </c>
      <c r="AB132" s="79">
        <f>IF(OR(W132="",AA132=""),"",W132-AA132)</f>
        <v/>
      </c>
      <c r="AC132" s="124" t="n"/>
      <c r="AD132" s="125" t="n"/>
      <c r="AE132" s="78">
        <f>IF(AD132="","",AC132*AD132)</f>
        <v/>
      </c>
      <c r="AF132" s="79">
        <f>IF(OR(AE132="",B132="",B132=0),"",AE132/B132)</f>
        <v/>
      </c>
      <c r="AG132" s="125" t="n"/>
      <c r="AH132" s="126" t="n"/>
      <c r="AI132" s="126" t="n"/>
      <c r="AJ132" s="126" t="n"/>
    </row>
    <row r="133" ht="15.75" customHeight="1" s="68">
      <c r="A133" s="117" t="n">
        <v>46426</v>
      </c>
      <c r="B133" s="118">
        <f>IF(AND(E133="",I133="",AE133="",AG133=""),"",SUM(E133,I133,AE133,AG133))</f>
        <v/>
      </c>
      <c r="C133" s="119" t="n"/>
      <c r="D133" s="84" t="n"/>
      <c r="E133" s="84">
        <f>IF(D133="","",D133*C133)</f>
        <v/>
      </c>
      <c r="F133" s="120">
        <f>IF(B133="","",E133/B133)</f>
        <v/>
      </c>
      <c r="G133" s="127" t="n"/>
      <c r="I133" s="84">
        <f>IF(H133="","",H133*G133)</f>
        <v/>
      </c>
      <c r="J133" s="120">
        <f>IF(B133="","",I133/B133)</f>
        <v/>
      </c>
      <c r="K133" s="121">
        <f>IF(B133="","",F133+J133*3)</f>
        <v/>
      </c>
      <c r="O133" s="122" t="n"/>
      <c r="P133" s="83" t="n"/>
      <c r="V133" s="123">
        <f>IF(OR(B133="",B132=""),"",B133/B132-1)</f>
        <v/>
      </c>
      <c r="W133" s="79">
        <f>IF(B133="","",B133/$B$3-1)</f>
        <v/>
      </c>
      <c r="X133" s="78">
        <f>IF(B133="","",MAX($B$3:B133))</f>
        <v/>
      </c>
      <c r="Y133" s="79">
        <f>IF(OR(B133="",X133=""),"",B133/X133-1)</f>
        <v/>
      </c>
      <c r="Z133" s="78">
        <f>IF(D133="","",$B$3*D133/$D$3)</f>
        <v/>
      </c>
      <c r="AA133" s="79">
        <f>IF(D133="","",D133/$D$3-1)</f>
        <v/>
      </c>
      <c r="AB133" s="79">
        <f>IF(OR(W133="",AA133=""),"",W133-AA133)</f>
        <v/>
      </c>
      <c r="AC133" s="124" t="n"/>
      <c r="AD133" s="125" t="n"/>
      <c r="AE133" s="78">
        <f>IF(AD133="","",AC133*AD133)</f>
        <v/>
      </c>
      <c r="AF133" s="79">
        <f>IF(OR(AE133="",B133="",B133=0),"",AE133/B133)</f>
        <v/>
      </c>
      <c r="AG133" s="125" t="n"/>
      <c r="AH133" s="126" t="n"/>
      <c r="AI133" s="126" t="n"/>
      <c r="AJ133" s="126" t="n"/>
    </row>
    <row r="134" ht="15.75" customHeight="1" s="68">
      <c r="A134" s="117" t="n">
        <v>46427</v>
      </c>
      <c r="B134" s="118">
        <f>IF(AND(E134="",I134="",AE134="",AG134=""),"",SUM(E134,I134,AE134,AG134))</f>
        <v/>
      </c>
      <c r="C134" s="119" t="n"/>
      <c r="D134" s="84" t="n"/>
      <c r="E134" s="84">
        <f>IF(D134="","",D134*C134)</f>
        <v/>
      </c>
      <c r="F134" s="120">
        <f>IF(B134="","",E134/B134)</f>
        <v/>
      </c>
      <c r="G134" s="127" t="n"/>
      <c r="I134" s="84">
        <f>IF(H134="","",H134*G134)</f>
        <v/>
      </c>
      <c r="J134" s="120">
        <f>IF(B134="","",I134/B134)</f>
        <v/>
      </c>
      <c r="K134" s="121">
        <f>IF(B134="","",F134+J134*3)</f>
        <v/>
      </c>
      <c r="O134" s="122" t="n"/>
      <c r="P134" s="83" t="n"/>
      <c r="V134" s="123">
        <f>IF(OR(B134="",B133=""),"",B134/B133-1)</f>
        <v/>
      </c>
      <c r="W134" s="79">
        <f>IF(B134="","",B134/$B$3-1)</f>
        <v/>
      </c>
      <c r="X134" s="78">
        <f>IF(B134="","",MAX($B$3:B134))</f>
        <v/>
      </c>
      <c r="Y134" s="79">
        <f>IF(OR(B134="",X134=""),"",B134/X134-1)</f>
        <v/>
      </c>
      <c r="Z134" s="78">
        <f>IF(D134="","",$B$3*D134/$D$3)</f>
        <v/>
      </c>
      <c r="AA134" s="79">
        <f>IF(D134="","",D134/$D$3-1)</f>
        <v/>
      </c>
      <c r="AB134" s="79">
        <f>IF(OR(W134="",AA134=""),"",W134-AA134)</f>
        <v/>
      </c>
      <c r="AC134" s="124" t="n"/>
      <c r="AD134" s="125" t="n"/>
      <c r="AE134" s="78">
        <f>IF(AD134="","",AC134*AD134)</f>
        <v/>
      </c>
      <c r="AF134" s="79">
        <f>IF(OR(AE134="",B134="",B134=0),"",AE134/B134)</f>
        <v/>
      </c>
      <c r="AG134" s="125" t="n"/>
      <c r="AH134" s="126" t="n"/>
      <c r="AI134" s="126" t="n"/>
      <c r="AJ134" s="126" t="n"/>
    </row>
    <row r="135" ht="15.75" customHeight="1" s="68">
      <c r="A135" s="117" t="n"/>
      <c r="B135" s="118">
        <f>IF(AND(E135="",I135="",AE135="",AG135=""),"",SUM(E135,I135,AE135,AG135))</f>
        <v/>
      </c>
      <c r="C135" s="119" t="n"/>
      <c r="D135" s="84" t="n"/>
      <c r="E135" s="84">
        <f>IF(D135="","",D135*C135)</f>
        <v/>
      </c>
      <c r="F135" s="120">
        <f>IF(B135="","",E135/B135)</f>
        <v/>
      </c>
      <c r="G135" s="127" t="n"/>
      <c r="I135" s="84">
        <f>IF(H135="","",H135*G135)</f>
        <v/>
      </c>
      <c r="J135" s="120">
        <f>IF(B135="","",I135/B135)</f>
        <v/>
      </c>
      <c r="K135" s="121">
        <f>IF(B135="","",F135+J135*3)</f>
        <v/>
      </c>
      <c r="O135" s="122" t="n"/>
      <c r="P135" s="83" t="n"/>
      <c r="V135" s="123">
        <f>IF(OR(B135="",B134=""),"",B135/B134-1)</f>
        <v/>
      </c>
      <c r="W135" s="79">
        <f>IF(B135="","",B135/$B$3-1)</f>
        <v/>
      </c>
      <c r="X135" s="78">
        <f>IF(B135="","",MAX($B$3:B135))</f>
        <v/>
      </c>
      <c r="Y135" s="79">
        <f>IF(OR(B135="",X135=""),"",B135/X135-1)</f>
        <v/>
      </c>
      <c r="Z135" s="78">
        <f>IF(D135="","",$B$3*D135/$D$3)</f>
        <v/>
      </c>
      <c r="AA135" s="79">
        <f>IF(D135="","",D135/$D$3-1)</f>
        <v/>
      </c>
      <c r="AB135" s="79">
        <f>IF(OR(W135="",AA135=""),"",W135-AA135)</f>
        <v/>
      </c>
      <c r="AC135" s="124" t="n"/>
      <c r="AD135" s="125" t="n"/>
      <c r="AE135" s="78">
        <f>IF(AD135="","",AC135*AD135)</f>
        <v/>
      </c>
      <c r="AF135" s="79">
        <f>IF(OR(AE135="",B135="",B135=0),"",AE135/B135)</f>
        <v/>
      </c>
      <c r="AG135" s="125" t="n"/>
      <c r="AH135" s="126" t="n"/>
      <c r="AI135" s="126" t="n"/>
      <c r="AJ135" s="126" t="n"/>
    </row>
    <row r="136" ht="15.75" customHeight="1" s="68">
      <c r="B136" s="118">
        <f>IF(AND(E136="",I136="",AE136="",AG136=""),"",SUM(E136,I136,AE136,AG136))</f>
        <v/>
      </c>
      <c r="C136" s="119" t="n"/>
      <c r="D136" s="84" t="n"/>
      <c r="E136" s="84">
        <f>IF(D136="","",D136*C136)</f>
        <v/>
      </c>
      <c r="F136" s="120">
        <f>IF(B136="","",E136/B136)</f>
        <v/>
      </c>
      <c r="G136" s="127" t="n"/>
      <c r="I136" s="84">
        <f>IF(H136="","",H136*G136)</f>
        <v/>
      </c>
      <c r="J136" s="120">
        <f>IF(B136="","",I136/B136)</f>
        <v/>
      </c>
      <c r="K136" s="121">
        <f>IF(B136="","",F136+J136*3)</f>
        <v/>
      </c>
      <c r="O136" s="122" t="n"/>
      <c r="P136" s="83" t="n"/>
      <c r="V136" s="123">
        <f>IF(OR(B136="",B135=""),"",B136/B135-1)</f>
        <v/>
      </c>
      <c r="W136" s="79">
        <f>IF(B136="","",B136/$B$3-1)</f>
        <v/>
      </c>
      <c r="X136" s="78">
        <f>IF(B136="","",MAX($B$3:B136))</f>
        <v/>
      </c>
      <c r="Y136" s="79">
        <f>IF(OR(B136="",X136=""),"",B136/X136-1)</f>
        <v/>
      </c>
      <c r="Z136" s="78">
        <f>IF(D136="","",$B$3*D136/$D$3)</f>
        <v/>
      </c>
      <c r="AA136" s="79">
        <f>IF(D136="","",D136/$D$3-1)</f>
        <v/>
      </c>
      <c r="AB136" s="79">
        <f>IF(OR(W136="",AA136=""),"",W136-AA136)</f>
        <v/>
      </c>
      <c r="AC136" s="124" t="n"/>
      <c r="AD136" s="125" t="n"/>
      <c r="AE136" s="78">
        <f>IF(AD136="","",AC136*AD136)</f>
        <v/>
      </c>
      <c r="AF136" s="79">
        <f>IF(OR(AE136="",B136="",B136=0),"",AE136/B136)</f>
        <v/>
      </c>
      <c r="AG136" s="125" t="n"/>
      <c r="AH136" s="126" t="n"/>
      <c r="AI136" s="126" t="n"/>
      <c r="AJ136" s="126" t="n"/>
    </row>
    <row r="137" ht="15.75" customHeight="1" s="68">
      <c r="B137" s="118">
        <f>IF(E137="","",E137+I137)</f>
        <v/>
      </c>
      <c r="C137" s="119" t="n"/>
      <c r="D137" s="84" t="n"/>
      <c r="E137" s="84">
        <f>IF(D137="","",D137*C137)</f>
        <v/>
      </c>
      <c r="F137" s="120">
        <f>IF(B137="","",E137/B137)</f>
        <v/>
      </c>
      <c r="G137" s="127" t="n"/>
      <c r="I137" s="84">
        <f>IF(H137="","",H137*G137)</f>
        <v/>
      </c>
      <c r="J137" s="120">
        <f>IF(B137="","",I137/B137)</f>
        <v/>
      </c>
      <c r="K137" s="121">
        <f>IF(B137="","",F137+J137*3)</f>
        <v/>
      </c>
      <c r="O137" s="122" t="n"/>
      <c r="P137" s="83" t="n"/>
    </row>
    <row r="138" ht="15.75" customHeight="1" s="68">
      <c r="B138" s="118">
        <f>IF(E138="","",E138+I138)</f>
        <v/>
      </c>
      <c r="C138" s="119" t="n"/>
      <c r="D138" s="84" t="n"/>
      <c r="E138" s="84">
        <f>IF(D138="","",D138*C138)</f>
        <v/>
      </c>
      <c r="F138" s="120">
        <f>IF(B138="","",E138/B138)</f>
        <v/>
      </c>
      <c r="G138" s="127" t="n"/>
      <c r="I138" s="84">
        <f>IF(H138="","",H138*G138)</f>
        <v/>
      </c>
      <c r="J138" s="120">
        <f>IF(B138="","",I138/B138)</f>
        <v/>
      </c>
      <c r="K138" s="121">
        <f>IF(B138="","",F138+J138*3)</f>
        <v/>
      </c>
      <c r="O138" s="122" t="n"/>
      <c r="P138" s="83" t="n"/>
    </row>
    <row r="139" ht="15.75" customHeight="1" s="68">
      <c r="B139" s="128" t="n"/>
      <c r="D139" s="117" t="n"/>
      <c r="O139" s="122" t="n"/>
      <c r="P139" s="83" t="n"/>
    </row>
  </sheetData>
  <mergeCells count="10">
    <mergeCell ref="Z1:AB1"/>
    <mergeCell ref="S2:T2"/>
    <mergeCell ref="B1:K1"/>
    <mergeCell ref="AH1:AJ1"/>
    <mergeCell ref="O1:T1"/>
    <mergeCell ref="E2:F2"/>
    <mergeCell ref="I2:J2"/>
    <mergeCell ref="AC1:AG1"/>
    <mergeCell ref="L1:M1"/>
    <mergeCell ref="V1:Y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7" activeCellId="0" sqref="E27"/>
    </sheetView>
  </sheetViews>
  <sheetFormatPr baseColWidth="8" defaultColWidth="8.50390625" defaultRowHeight="15.75" zeroHeight="0" outlineLevelRow="0"/>
  <cols>
    <col width="12" customWidth="1" style="67" min="1" max="1"/>
    <col width="9" customWidth="1" style="67" min="2" max="2"/>
    <col width="15" customWidth="1" style="67" min="3" max="3"/>
    <col width="9" customWidth="1" style="67" min="4" max="4"/>
    <col width="13" customWidth="1" style="67" min="5" max="5"/>
    <col width="20" customWidth="1" style="67" min="6" max="6"/>
    <col width="11" customWidth="1" style="67" min="7" max="7"/>
    <col width="22" customWidth="1" style="67" min="8" max="8"/>
    <col width="40" customWidth="1" style="67" min="9" max="9"/>
  </cols>
  <sheetData>
    <row r="1" ht="15.75" customHeight="1" s="68">
      <c r="A1" s="72" t="inlineStr">
        <is>
          <t>Trade Log — one row per executed (paper) trade</t>
        </is>
      </c>
      <c r="E1" s="129" t="n"/>
      <c r="H1" s="130">
        <f>SUM(H4:H1000)</f>
        <v/>
      </c>
    </row>
    <row r="2" ht="15.75" customHeight="1" s="68">
      <c r="A2" s="70" t="inlineStr">
        <is>
          <t>Slippage auto-computes in bps vs the ARRIVAL price (NBBO midpoint when the order was sent; the official open for orders sent before the open), signed so POSITIVE = adverse. It measures execution only, not the day's market move.</t>
        </is>
      </c>
    </row>
    <row r="3" ht="15.75" customHeight="1" s="68">
      <c r="A3" s="97" t="inlineStr">
        <is>
          <t>Date</t>
        </is>
      </c>
      <c r="B3" s="97" t="inlineStr">
        <is>
          <t>Symbol</t>
        </is>
      </c>
      <c r="C3" s="97" t="inlineStr">
        <is>
          <t>Side (buy/sell)</t>
        </is>
      </c>
      <c r="D3" s="97" t="inlineStr">
        <is>
          <t>Shares</t>
        </is>
      </c>
      <c r="E3" s="97" t="inlineStr">
        <is>
          <t>Notional $</t>
        </is>
      </c>
      <c r="F3" s="97" t="inlineStr">
        <is>
          <t>Arrival price (NBBO mid at order)</t>
        </is>
      </c>
      <c r="G3" s="97" t="inlineStr">
        <is>
          <t>Fill price</t>
        </is>
      </c>
      <c r="H3" s="97" t="inlineStr">
        <is>
          <t>Slippage (bps, adverse+)</t>
        </is>
      </c>
      <c r="I3" s="97" t="inlineStr">
        <is>
          <t>Notes</t>
        </is>
      </c>
    </row>
    <row r="4" ht="15.75" customHeight="1" s="68">
      <c r="A4" s="131" t="n">
        <v>46230</v>
      </c>
      <c r="B4" s="73" t="inlineStr">
        <is>
          <t>QQQ</t>
        </is>
      </c>
      <c r="C4" s="73" t="inlineStr">
        <is>
          <t>buy</t>
        </is>
      </c>
      <c r="D4" s="73" t="n">
        <v>146.894222718</v>
      </c>
      <c r="E4" s="132">
        <f>IF(OR(D4="",G4=""),"",D4*G4)</f>
        <v/>
      </c>
      <c r="F4" s="78" t="n"/>
      <c r="G4" s="78" t="n">
        <v>680.761899</v>
      </c>
      <c r="H4" s="133">
        <f>IF(OR(F4="",G4="",C4=""),"",(G4-F4)/F4*10000*IF(LOWER(C4)="buy",1,-1))</f>
        <v/>
      </c>
      <c r="I4" s="134" t="inlineStr">
        <is>
          <t>Pre-v3.3: account opened under v3.1. Starting position for the 8/3 record; intended price left blank so it stays out of v3.3 slippage stats.</t>
        </is>
      </c>
    </row>
    <row r="5" ht="15.75" customHeight="1" s="68">
      <c r="A5" s="131" t="n">
        <v>46252</v>
      </c>
      <c r="B5" s="73" t="inlineStr">
        <is>
          <t>QQQ</t>
        </is>
      </c>
      <c r="C5" s="73" t="inlineStr">
        <is>
          <t>sell</t>
        </is>
      </c>
      <c r="D5" s="73" t="n">
        <v>3.914318073</v>
      </c>
      <c r="E5" s="78">
        <f>IF(OR(D5="",G5=""),"",D5*G5)</f>
        <v/>
      </c>
      <c r="F5" s="78" t="n">
        <v>720.21</v>
      </c>
      <c r="G5" s="78" t="n">
        <v>720.41788</v>
      </c>
      <c r="H5" s="135">
        <f>IF(OR(F5="",G5="",C5=""),"",(G5-F5)/F5*10000*IF(LOWER(C5)="buy",1,-1))</f>
        <v/>
      </c>
      <c r="I5" s="134" t="inlineStr">
        <is>
          <t>First TQQQ rebalance (was missing; from Alpaca)</t>
        </is>
      </c>
    </row>
    <row r="6" ht="15.75" customHeight="1" s="68">
      <c r="A6" s="131" t="n">
        <v>46252</v>
      </c>
      <c r="B6" s="73" t="inlineStr">
        <is>
          <t>TQQQ</t>
        </is>
      </c>
      <c r="C6" s="73" t="inlineStr">
        <is>
          <t>buy</t>
        </is>
      </c>
      <c r="D6" s="73" t="n">
        <v>37.394546231</v>
      </c>
      <c r="E6" s="78">
        <f>IF(OR(D6="",G6=""),"",D6*G6)</f>
        <v/>
      </c>
      <c r="F6" s="78" t="n">
        <v>73.36</v>
      </c>
      <c r="G6" s="78" t="n">
        <v>73.37291399999999</v>
      </c>
      <c r="H6" s="135">
        <f>IF(OR(F6="",G6="",C6=""),"",(G6-F6)/F6*10000*IF(LOWER(C6)="buy",1,-1))</f>
        <v/>
      </c>
      <c r="I6" s="134" t="inlineStr">
        <is>
          <t>First TQQQ rebalance (was missing; from Alpaca)</t>
        </is>
      </c>
    </row>
    <row r="7" ht="15.75" customHeight="1" s="68">
      <c r="A7" s="131" t="n">
        <v>46259</v>
      </c>
      <c r="B7" s="73" t="inlineStr">
        <is>
          <t>QQQ</t>
        </is>
      </c>
      <c r="C7" s="73" t="inlineStr">
        <is>
          <t>sell</t>
        </is>
      </c>
      <c r="D7" s="73" t="n">
        <v>18.841315215</v>
      </c>
      <c r="E7" s="78">
        <f>IF(OR(D7="",G7=""),"",D7*G7)</f>
        <v/>
      </c>
      <c r="F7" s="78" t="n">
        <v>710.095</v>
      </c>
      <c r="G7" s="78" t="n">
        <v>710.153185</v>
      </c>
      <c r="H7" s="135">
        <f>IF(OR(F7="",G7="",C7=""),"",(G7-F7)/F7*10000*IF(LOWER(C7)="buy",1,-1))</f>
        <v/>
      </c>
      <c r="I7" s="134" t="inlineStr">
        <is>
          <t>Bug</t>
        </is>
      </c>
    </row>
    <row r="8" ht="15.75" customHeight="1" s="68">
      <c r="A8" s="131" t="n">
        <v>46259</v>
      </c>
      <c r="B8" s="73" t="inlineStr">
        <is>
          <t>TQQQ</t>
        </is>
      </c>
      <c r="C8" s="73" t="inlineStr">
        <is>
          <t>buy</t>
        </is>
      </c>
      <c r="D8" s="73" t="n">
        <v>191.896005706</v>
      </c>
      <c r="E8" s="78">
        <f>IF(OR(D8="",G8=""),"",D8*G8)</f>
        <v/>
      </c>
      <c r="F8" s="78" t="n">
        <v>70.105</v>
      </c>
      <c r="G8" s="78" t="n">
        <v>70.12303300000001</v>
      </c>
      <c r="H8" s="135">
        <f>IF(OR(F8="",G8="",C8=""),"",(G8-F8)/F8*10000*IF(LOWER(C8)="buy",1,-1))</f>
        <v/>
      </c>
      <c r="I8" s="134" t="inlineStr">
        <is>
          <t>Bug</t>
        </is>
      </c>
    </row>
    <row r="9" ht="15.75" customHeight="1" s="68">
      <c r="A9" s="131" t="n">
        <v>46260</v>
      </c>
      <c r="B9" s="73" t="inlineStr">
        <is>
          <t>TQQQ</t>
        </is>
      </c>
      <c r="C9" s="73" t="inlineStr">
        <is>
          <t>sell</t>
        </is>
      </c>
      <c r="D9" s="73" t="n">
        <v>193.603701067</v>
      </c>
      <c r="E9" s="78">
        <f>IF(OR(D9="",G9=""),"",D9*G9)</f>
        <v/>
      </c>
      <c r="F9" s="78" t="n">
        <v>70.235</v>
      </c>
      <c r="G9" s="78" t="n">
        <v>70.223038</v>
      </c>
      <c r="H9" s="135">
        <f>IF(OR(F9="",G9="",C9=""),"",(G9-F9)/F9*10000*IF(LOWER(C9)="buy",1,-1))</f>
        <v/>
      </c>
      <c r="I9" s="134" t="inlineStr">
        <is>
          <t>Fixed Bug</t>
        </is>
      </c>
    </row>
    <row r="10" ht="15.75" customHeight="1" s="68">
      <c r="A10" s="131" t="n">
        <v>46260</v>
      </c>
      <c r="B10" s="73" t="inlineStr">
        <is>
          <t>QQQ</t>
        </is>
      </c>
      <c r="C10" s="73" t="inlineStr">
        <is>
          <t>buy</t>
        </is>
      </c>
      <c r="D10" s="73" t="n">
        <v>19.131587464</v>
      </c>
      <c r="E10" s="78">
        <f>IF(OR(D10="",G10=""),"",D10*G10)</f>
        <v/>
      </c>
      <c r="F10" s="78" t="n">
        <v>710.675</v>
      </c>
      <c r="G10" s="78" t="n">
        <v>710.627909</v>
      </c>
      <c r="H10" s="135">
        <f>IF(OR(F10="",G10="",C10=""),"",(G10-F10)/F10*10000*IF(LOWER(C10)="buy",1,-1))</f>
        <v/>
      </c>
      <c r="I10" s="134" t="inlineStr">
        <is>
          <t>Fixed Bug</t>
        </is>
      </c>
    </row>
    <row r="11" ht="15.75" customHeight="1" s="68">
      <c r="A11" s="131" t="n">
        <v>46261</v>
      </c>
      <c r="B11" s="73" t="inlineStr">
        <is>
          <t>QQQ</t>
        </is>
      </c>
      <c r="C11" s="73" t="inlineStr">
        <is>
          <t>sell</t>
        </is>
      </c>
      <c r="D11" s="73" t="n">
        <v>11.24157515</v>
      </c>
      <c r="E11" s="78">
        <f>IF(OR(D11="",G11=""),"",D11*G11)</f>
        <v/>
      </c>
      <c r="F11" s="78" t="n">
        <v>717.77</v>
      </c>
      <c r="G11" s="78" t="n">
        <v>716.63</v>
      </c>
      <c r="H11" s="135">
        <f>IF(OR(F11="",G11="",C11=""),"",(G11-F11)/F11*10000*IF(LOWER(C11)="buy",1,-1))</f>
        <v/>
      </c>
      <c r="I11" s="134" t="inlineStr">
        <is>
          <t>Real Trade</t>
        </is>
      </c>
    </row>
    <row r="12" ht="15.75" customHeight="1" s="68">
      <c r="A12" s="131" t="n">
        <v>46261</v>
      </c>
      <c r="B12" s="73" t="inlineStr">
        <is>
          <t>TQQQ</t>
        </is>
      </c>
      <c r="C12" s="73" t="inlineStr">
        <is>
          <t>buy</t>
        </is>
      </c>
      <c r="D12" s="73" t="n">
        <v>112.147853957</v>
      </c>
      <c r="E12" s="78">
        <f>IF(OR(D12="",G12=""),"",D12*G12)</f>
        <v/>
      </c>
      <c r="F12" s="78" t="n">
        <v>72.33</v>
      </c>
      <c r="G12" s="78" t="n">
        <v>71.831513</v>
      </c>
      <c r="H12" s="135">
        <f>IF(OR(F12="",G12="",C12=""),"",(G12-F12)/F12*10000*IF(LOWER(C12)="buy",1,-1))</f>
        <v/>
      </c>
      <c r="I12" s="134" t="inlineStr">
        <is>
          <t>Real Trade</t>
        </is>
      </c>
    </row>
    <row r="13" ht="15.75" customHeight="1" s="68">
      <c r="A13" s="131" t="n">
        <v>46262</v>
      </c>
      <c r="B13" s="73" t="inlineStr">
        <is>
          <t>QQQ</t>
        </is>
      </c>
      <c r="C13" s="73" t="inlineStr">
        <is>
          <t>sell</t>
        </is>
      </c>
      <c r="D13" s="73" t="n">
        <v>14.200144649</v>
      </c>
      <c r="E13" s="78">
        <f>IF(OR(D13="",G13=""),"",D13*G13)</f>
        <v/>
      </c>
      <c r="F13" s="78" t="n">
        <v>718.8200000000001</v>
      </c>
      <c r="G13" s="78" t="n">
        <v>718.802537</v>
      </c>
      <c r="H13" s="135">
        <f>IF(OR(F13="",G13="",C13=""),"",(G13-F13)/F13*10000*IF(LOWER(C13)="buy",1,-1))</f>
        <v/>
      </c>
      <c r="I13" s="134" t="inlineStr">
        <is>
          <t>Real Trade</t>
        </is>
      </c>
    </row>
    <row r="14" ht="15.75" customHeight="1" s="68">
      <c r="A14" s="131" t="n">
        <v>46262</v>
      </c>
      <c r="B14" s="73" t="inlineStr">
        <is>
          <t>TQQQ</t>
        </is>
      </c>
      <c r="C14" s="73" t="inlineStr">
        <is>
          <t>buy</t>
        </is>
      </c>
      <c r="D14" s="73" t="n">
        <v>140.860612751</v>
      </c>
      <c r="E14" s="78">
        <f>IF(OR(D14="",G14=""),"",D14*G14)</f>
        <v/>
      </c>
      <c r="F14" s="78" t="n">
        <v>72.575</v>
      </c>
      <c r="G14" s="78" t="n">
        <v>72.45999999999999</v>
      </c>
      <c r="H14" s="135">
        <f>IF(OR(F14="",G14="",C14=""),"",(G14-F14)/F14*10000*IF(LOWER(C14)="buy",1,-1))</f>
        <v/>
      </c>
      <c r="I14" s="134" t="inlineStr">
        <is>
          <t>Real Trade</t>
        </is>
      </c>
    </row>
    <row r="15" ht="15.75" customHeight="1" s="68">
      <c r="A15" s="131" t="n">
        <v>46268</v>
      </c>
      <c r="B15" s="73" t="inlineStr">
        <is>
          <t>QQQ</t>
        </is>
      </c>
      <c r="C15" s="73" t="inlineStr">
        <is>
          <t>sell</t>
        </is>
      </c>
      <c r="D15" s="73" t="n">
        <v>38.752088431</v>
      </c>
      <c r="E15" s="78">
        <f>IF(OR(D15="",G15=""),"",D15*G15)</f>
        <v/>
      </c>
      <c r="F15" s="78" t="n">
        <v>711.23</v>
      </c>
      <c r="G15" s="78" t="n">
        <v>710.953167</v>
      </c>
      <c r="H15" s="135">
        <f>IF(OR(F15="",G15="",C15=""),"",(G15-F15)/F15*10000*IF(LOWER(C15)="buy",1,-1))</f>
        <v/>
      </c>
      <c r="I15" s="134" t="inlineStr">
        <is>
          <t>Real Trade</t>
        </is>
      </c>
    </row>
    <row r="16" ht="15.75" customHeight="1" s="68">
      <c r="A16" s="131" t="n">
        <v>46268</v>
      </c>
      <c r="B16" s="73" t="inlineStr">
        <is>
          <t>TQQQ</t>
        </is>
      </c>
      <c r="C16" s="73" t="inlineStr">
        <is>
          <t>buy</t>
        </is>
      </c>
      <c r="D16" s="73" t="n">
        <v>393.377151799</v>
      </c>
      <c r="E16" s="78">
        <f>IF(OR(D16="",G16=""),"",D16*G16)</f>
        <v/>
      </c>
      <c r="F16" s="78" t="n">
        <v>70.16500000000001</v>
      </c>
      <c r="G16" s="78" t="n">
        <v>70.035816</v>
      </c>
      <c r="H16" s="135">
        <f>IF(OR(F16="",G16="",C16=""),"",(G16-F16)/F16*10000*IF(LOWER(C16)="buy",1,-1))</f>
        <v/>
      </c>
      <c r="I16" s="134" t="inlineStr">
        <is>
          <t>Real Trade</t>
        </is>
      </c>
    </row>
    <row r="17" ht="15.75" customHeight="1" s="68">
      <c r="A17" s="131" t="n">
        <v>46282</v>
      </c>
      <c r="B17" s="73" t="inlineStr">
        <is>
          <t>QQQ</t>
        </is>
      </c>
      <c r="C17" s="73" t="inlineStr">
        <is>
          <t>sell</t>
        </is>
      </c>
      <c r="D17" s="73" t="n">
        <v>15.904602826</v>
      </c>
      <c r="E17" s="78">
        <f>IF(OR(D17="",G17=""),"",D17*G17)</f>
        <v/>
      </c>
      <c r="F17" s="78" t="n">
        <v>715.85</v>
      </c>
      <c r="G17" s="78" t="n">
        <v>715.4299999999999</v>
      </c>
      <c r="H17" s="135">
        <f>IF(OR(F17="",G17="",C17=""),"",(G17-F17)/F17*10000*IF(LOWER(C17)="buy",1,-1))</f>
        <v/>
      </c>
      <c r="I17" s="134" t="inlineStr">
        <is>
          <t>Real Trade</t>
        </is>
      </c>
    </row>
    <row r="18" ht="15.75" customHeight="1" s="68">
      <c r="A18" s="131" t="n">
        <v>46282</v>
      </c>
      <c r="B18" s="73" t="inlineStr">
        <is>
          <t>TQQQ</t>
        </is>
      </c>
      <c r="C18" s="73" t="inlineStr">
        <is>
          <t>buy</t>
        </is>
      </c>
      <c r="D18" s="73" t="n">
        <v>160.688118811</v>
      </c>
      <c r="E18" s="78">
        <f>IF(OR(D18="",G18=""),"",D18*G18)</f>
        <v/>
      </c>
      <c r="F18" s="78" t="n">
        <v>71.105</v>
      </c>
      <c r="G18" s="78" t="n">
        <v>70.808222</v>
      </c>
      <c r="H18" s="135">
        <f>IF(OR(F18="",G18="",C18=""),"",(G18-F18)/F18*10000*IF(LOWER(C18)="buy",1,-1))</f>
        <v/>
      </c>
      <c r="I18" s="134" t="inlineStr">
        <is>
          <t>Real Trade</t>
        </is>
      </c>
    </row>
    <row r="19" ht="15.75" customHeight="1" s="68">
      <c r="A19" s="131" t="n">
        <v>46283</v>
      </c>
      <c r="B19" s="73" t="inlineStr">
        <is>
          <t>TQQQ</t>
        </is>
      </c>
      <c r="C19" s="73" t="inlineStr">
        <is>
          <t>sell</t>
        </is>
      </c>
      <c r="D19" s="73" t="n">
        <v>177.365823136</v>
      </c>
      <c r="E19" s="78">
        <f>IF(OR(D19="",G19=""),"",D19*G19)</f>
        <v/>
      </c>
      <c r="F19" s="78" t="n">
        <v>71.91500000000001</v>
      </c>
      <c r="G19" s="78" t="n">
        <v>71.92</v>
      </c>
      <c r="H19" s="135">
        <f>IF(OR(F19="",G19="",C19=""),"",(G19-F19)/F19*10000*IF(LOWER(C19)="buy",1,-1))</f>
        <v/>
      </c>
      <c r="I19" s="134" t="inlineStr">
        <is>
          <t>Real Trade</t>
        </is>
      </c>
    </row>
    <row r="20" ht="15.75" customHeight="1" s="68">
      <c r="A20" s="131" t="n">
        <v>46283</v>
      </c>
      <c r="B20" s="73" t="inlineStr">
        <is>
          <t>QQQ</t>
        </is>
      </c>
      <c r="C20" s="73" t="inlineStr">
        <is>
          <t>buy</t>
        </is>
      </c>
      <c r="D20" s="73" t="n">
        <v>17.74645242</v>
      </c>
      <c r="E20" s="78">
        <f>IF(OR(D20="",G20=""),"",D20*G20)</f>
        <v/>
      </c>
      <c r="F20" s="78" t="n">
        <v>718.8099999999999</v>
      </c>
      <c r="G20" s="78" t="n">
        <v>718.8</v>
      </c>
      <c r="H20" s="135">
        <f>IF(OR(F20="",G20="",C20=""),"",(G20-F20)/F20*10000*IF(LOWER(C20)="buy",1,-1))</f>
        <v/>
      </c>
      <c r="I20" s="134" t="inlineStr">
        <is>
          <t>Real Trade</t>
        </is>
      </c>
    </row>
    <row r="21" ht="15.75" customHeight="1" s="68">
      <c r="A21" s="131" t="n">
        <v>46287</v>
      </c>
      <c r="B21" s="73" t="inlineStr">
        <is>
          <t>TQQQ</t>
        </is>
      </c>
      <c r="C21" s="73" t="inlineStr">
        <is>
          <t>sell</t>
        </is>
      </c>
      <c r="D21" s="73" t="n">
        <v>290.810759969</v>
      </c>
      <c r="E21" s="78">
        <f>IF(OR(D21="",G21=""),"",D21*G21)</f>
        <v/>
      </c>
      <c r="F21" s="78" t="n">
        <v>79.745</v>
      </c>
      <c r="G21" s="78" t="n">
        <v>79.73999999999999</v>
      </c>
      <c r="H21" s="135">
        <f>IF(OR(F21="",G21="",C21=""),"",(G21-F21)/F21*10000*IF(LOWER(C21)="buy",1,-1))</f>
        <v/>
      </c>
      <c r="I21" s="134" t="inlineStr">
        <is>
          <t>Real Trade</t>
        </is>
      </c>
    </row>
    <row r="22" ht="15.75" customHeight="1" s="68">
      <c r="A22" s="131" t="n">
        <v>46287</v>
      </c>
      <c r="B22" s="73" t="inlineStr">
        <is>
          <t>QQQ</t>
        </is>
      </c>
      <c r="C22" s="73" t="inlineStr">
        <is>
          <t>buy</t>
        </is>
      </c>
      <c r="D22" s="73" t="n">
        <v>31.169184655</v>
      </c>
      <c r="E22" s="78">
        <f>IF(OR(D22="",G22=""),"",D22*G22)</f>
        <v/>
      </c>
      <c r="F22" s="78" t="n">
        <v>743.975</v>
      </c>
      <c r="G22" s="78" t="n">
        <v>743.98</v>
      </c>
      <c r="H22" s="135">
        <f>IF(OR(F22="",G22="",C22=""),"",(G22-F22)/F22*10000*IF(LOWER(C22)="buy",1,-1))</f>
        <v/>
      </c>
      <c r="I22" s="134" t="inlineStr">
        <is>
          <t>Real Trade</t>
        </is>
      </c>
    </row>
    <row r="23" ht="15.75" customHeight="1" s="68">
      <c r="A23" s="131" t="n">
        <v>46296</v>
      </c>
      <c r="B23" s="73" t="inlineStr">
        <is>
          <t>QQQ</t>
        </is>
      </c>
      <c r="C23" s="73" t="inlineStr">
        <is>
          <t>sell</t>
        </is>
      </c>
      <c r="D23" s="73" t="n">
        <v>8.080452655</v>
      </c>
      <c r="E23" s="78">
        <f>IF(OR(D23="",G23=""),"",D23*G23)</f>
        <v/>
      </c>
      <c r="F23" s="78" t="n">
        <v>742.33</v>
      </c>
      <c r="G23" s="78" t="n">
        <v>742.907638</v>
      </c>
      <c r="H23" s="135">
        <f>IF(OR(F23="",G23="",C23=""),"",(G23-F23)/F23*10000*IF(LOWER(C23)="buy",1,-1))</f>
        <v/>
      </c>
      <c r="I23" s="134" t="inlineStr">
        <is>
          <t>Real Trade</t>
        </is>
      </c>
    </row>
    <row r="24" ht="15.75" customHeight="1" s="68">
      <c r="A24" s="131" t="n">
        <v>46296</v>
      </c>
      <c r="B24" s="73" t="inlineStr">
        <is>
          <t>TQQQ</t>
        </is>
      </c>
      <c r="C24" s="73" t="inlineStr">
        <is>
          <t>buy</t>
        </is>
      </c>
      <c r="D24" s="73" t="n">
        <v>76.03322385</v>
      </c>
      <c r="E24" s="78">
        <f>IF(OR(D24="",G24=""),"",D24*G24)</f>
        <v/>
      </c>
      <c r="F24" s="78" t="n">
        <v>78.80500000000001</v>
      </c>
      <c r="G24" s="78" t="n">
        <v>78.95272199999999</v>
      </c>
      <c r="H24" s="135">
        <f>IF(OR(F24="",G24="",C24=""),"",(G24-F24)/F24*10000*IF(LOWER(C24)="buy",1,-1))</f>
        <v/>
      </c>
      <c r="I24" s="134" t="inlineStr">
        <is>
          <t>Real Trade</t>
        </is>
      </c>
    </row>
    <row r="25" ht="15.75" customHeight="1" s="68">
      <c r="A25" s="126" t="n"/>
      <c r="B25" s="126" t="n"/>
      <c r="C25" s="126" t="n"/>
      <c r="D25" s="126" t="n"/>
      <c r="E25" s="78">
        <f>IF(OR(D25="",G25=""),"",D25*G25)</f>
        <v/>
      </c>
      <c r="F25" s="125" t="n"/>
      <c r="G25" s="125" t="n"/>
      <c r="H25" s="135">
        <f>IF(OR(F25="",G25="",C25=""),"",(G25-F25)/F25*10000*IF(LOWER(C25)="buy",1,-1))</f>
        <v/>
      </c>
      <c r="I25" s="126" t="n"/>
    </row>
    <row r="26" ht="15.75" customHeight="1" s="68">
      <c r="A26" s="126" t="n"/>
      <c r="B26" s="126" t="n"/>
      <c r="C26" s="126" t="n"/>
      <c r="D26" s="126" t="n"/>
      <c r="E26" s="78">
        <f>IF(OR(D26="",G26=""),"",D26*G26)</f>
        <v/>
      </c>
      <c r="F26" s="125" t="n"/>
      <c r="G26" s="125" t="n"/>
      <c r="H26" s="135">
        <f>IF(OR(F26="",G26="",C26=""),"",(G26-F26)/F26*10000*IF(LOWER(C26)="buy",1,-1))</f>
        <v/>
      </c>
      <c r="I26" s="126" t="n"/>
    </row>
    <row r="27" ht="15.75" customHeight="1" s="68">
      <c r="A27" s="126" t="n"/>
      <c r="B27" s="126" t="n"/>
      <c r="C27" s="126" t="n"/>
      <c r="D27" s="126" t="n"/>
      <c r="E27" s="78">
        <f>IF(OR(D27="",G27=""),"",D27*G27)</f>
        <v/>
      </c>
      <c r="F27" s="125" t="n"/>
      <c r="G27" s="125" t="n"/>
      <c r="H27" s="135">
        <f>IF(OR(F27="",G27="",C27=""),"",(G27-F27)/F27*10000*IF(LOWER(C27)="buy",1,-1))</f>
        <v/>
      </c>
      <c r="I27" s="126" t="n"/>
    </row>
    <row r="28" ht="15.75" customHeight="1" s="68">
      <c r="A28" s="126" t="n"/>
      <c r="B28" s="126" t="n"/>
      <c r="C28" s="126" t="n"/>
      <c r="D28" s="126" t="n"/>
      <c r="E28" s="78">
        <f>IF(OR(D28="",G28=""),"",D28*G28)</f>
        <v/>
      </c>
      <c r="F28" s="125" t="n"/>
      <c r="G28" s="125" t="n"/>
      <c r="H28" s="135">
        <f>IF(OR(F28="",G28="",C28=""),"",(G28-F28)/F28*10000*IF(LOWER(C28)="buy",1,-1))</f>
        <v/>
      </c>
      <c r="I28" s="126" t="n"/>
    </row>
    <row r="29" ht="15.75" customHeight="1" s="68">
      <c r="A29" s="126" t="n"/>
      <c r="B29" s="126" t="n"/>
      <c r="C29" s="126" t="n"/>
      <c r="D29" s="126" t="n"/>
      <c r="E29" s="78">
        <f>IF(OR(D29="",G29=""),"",D29*G29)</f>
        <v/>
      </c>
      <c r="F29" s="125" t="n"/>
      <c r="G29" s="125" t="n"/>
      <c r="H29" s="135">
        <f>IF(OR(F29="",G29="",C29=""),"",(G29-F29)/F29*10000*IF(LOWER(C29)="buy",1,-1))</f>
        <v/>
      </c>
      <c r="I29" s="126" t="n"/>
    </row>
    <row r="30" ht="15.75" customHeight="1" s="68">
      <c r="A30" s="126" t="n"/>
      <c r="B30" s="126" t="n"/>
      <c r="C30" s="126" t="n"/>
      <c r="D30" s="126" t="n"/>
      <c r="E30" s="78">
        <f>IF(OR(D30="",G30=""),"",D30*G30)</f>
        <v/>
      </c>
      <c r="F30" s="125" t="n"/>
      <c r="G30" s="125" t="n"/>
      <c r="H30" s="135">
        <f>IF(OR(F30="",G30="",C30=""),"",(G30-F30)/F30*10000*IF(LOWER(C30)="buy",1,-1))</f>
        <v/>
      </c>
      <c r="I30" s="126" t="n"/>
    </row>
    <row r="31" ht="15.75" customHeight="1" s="68">
      <c r="A31" s="126" t="n"/>
      <c r="B31" s="126" t="n"/>
      <c r="C31" s="126" t="n"/>
      <c r="D31" s="126" t="n"/>
      <c r="E31" s="78">
        <f>IF(OR(D31="",G31=""),"",D31*G31)</f>
        <v/>
      </c>
      <c r="F31" s="125" t="n"/>
      <c r="G31" s="125" t="n"/>
      <c r="H31" s="135">
        <f>IF(OR(F31="",G31="",C31=""),"",(G31-F31)/F31*10000*IF(LOWER(C31)="buy",1,-1))</f>
        <v/>
      </c>
      <c r="I31" s="126" t="n"/>
    </row>
    <row r="32" ht="15.75" customHeight="1" s="68">
      <c r="A32" s="126" t="n"/>
      <c r="B32" s="126" t="n"/>
      <c r="C32" s="126" t="n"/>
      <c r="D32" s="126" t="n"/>
      <c r="E32" s="78">
        <f>IF(OR(D32="",G32=""),"",D32*G32)</f>
        <v/>
      </c>
      <c r="F32" s="125" t="n"/>
      <c r="G32" s="125" t="n"/>
      <c r="H32" s="135">
        <f>IF(OR(F32="",G32="",C32=""),"",(G32-F32)/F32*10000*IF(LOWER(C32)="buy",1,-1))</f>
        <v/>
      </c>
      <c r="I32" s="126" t="n"/>
    </row>
    <row r="33" ht="15.75" customHeight="1" s="68">
      <c r="A33" s="126" t="n"/>
      <c r="B33" s="126" t="n"/>
      <c r="C33" s="126" t="n"/>
      <c r="D33" s="126" t="n"/>
      <c r="E33" s="78">
        <f>IF(OR(D33="",G33=""),"",D33*G33)</f>
        <v/>
      </c>
      <c r="F33" s="125" t="n"/>
      <c r="G33" s="125" t="n"/>
      <c r="H33" s="135">
        <f>IF(OR(F33="",G33="",C33=""),"",(G33-F33)/F33*10000*IF(LOWER(C33)="buy",1,-1))</f>
        <v/>
      </c>
      <c r="I33" s="126" t="n"/>
    </row>
    <row r="34" ht="15.75" customHeight="1" s="68">
      <c r="A34" s="126" t="n"/>
      <c r="B34" s="126" t="n"/>
      <c r="C34" s="126" t="n"/>
      <c r="D34" s="126" t="n"/>
      <c r="E34" s="78">
        <f>IF(OR(D34="",G34=""),"",D34*G34)</f>
        <v/>
      </c>
      <c r="F34" s="125" t="n"/>
      <c r="G34" s="125" t="n"/>
      <c r="H34" s="135">
        <f>IF(OR(F34="",G34="",C34=""),"",(G34-F34)/F34*10000*IF(LOWER(C34)="buy",1,-1))</f>
        <v/>
      </c>
      <c r="I34" s="126" t="n"/>
    </row>
    <row r="35" ht="15.75" customHeight="1" s="68">
      <c r="A35" s="126" t="n"/>
      <c r="B35" s="126" t="n"/>
      <c r="C35" s="126" t="n"/>
      <c r="D35" s="126" t="n"/>
      <c r="E35" s="78">
        <f>IF(OR(D35="",G35=""),"",D35*G35)</f>
        <v/>
      </c>
      <c r="F35" s="125" t="n"/>
      <c r="G35" s="125" t="n"/>
      <c r="H35" s="135">
        <f>IF(OR(F35="",G35="",C35=""),"",(G35-F35)/F35*10000*IF(LOWER(C35)="buy",1,-1))</f>
        <v/>
      </c>
      <c r="I35" s="126" t="n"/>
    </row>
    <row r="36" ht="15.75" customHeight="1" s="68">
      <c r="A36" s="126" t="n"/>
      <c r="B36" s="126" t="n"/>
      <c r="C36" s="126" t="n"/>
      <c r="D36" s="126" t="n"/>
      <c r="E36" s="78">
        <f>IF(OR(D36="",G36=""),"",D36*G36)</f>
        <v/>
      </c>
      <c r="F36" s="125" t="n"/>
      <c r="G36" s="125" t="n"/>
      <c r="H36" s="135">
        <f>IF(OR(F36="",G36="",C36=""),"",(G36-F36)/F36*10000*IF(LOWER(C36)="buy",1,-1))</f>
        <v/>
      </c>
      <c r="I36" s="126" t="n"/>
    </row>
    <row r="37" ht="15.75" customHeight="1" s="68">
      <c r="A37" s="126" t="n"/>
      <c r="B37" s="126" t="n"/>
      <c r="C37" s="126" t="n"/>
      <c r="D37" s="126" t="n"/>
      <c r="E37" s="78">
        <f>IF(OR(D37="",G37=""),"",D37*G37)</f>
        <v/>
      </c>
      <c r="F37" s="125" t="n"/>
      <c r="G37" s="125" t="n"/>
      <c r="H37" s="135">
        <f>IF(OR(F37="",G37="",C37=""),"",(G37-F37)/F37*10000*IF(LOWER(C37)="buy",1,-1))</f>
        <v/>
      </c>
      <c r="I37" s="126" t="n"/>
    </row>
    <row r="38" ht="15.75" customHeight="1" s="68">
      <c r="A38" s="126" t="n"/>
      <c r="B38" s="126" t="n"/>
      <c r="C38" s="126" t="n"/>
      <c r="D38" s="126" t="n"/>
      <c r="E38" s="78">
        <f>IF(OR(D38="",G38=""),"",D38*G38)</f>
        <v/>
      </c>
      <c r="F38" s="125" t="n"/>
      <c r="G38" s="125" t="n"/>
      <c r="H38" s="135">
        <f>IF(OR(F38="",G38="",C38=""),"",(G38-F38)/F38*10000*IF(LOWER(C38)="buy",1,-1))</f>
        <v/>
      </c>
      <c r="I38" s="126" t="n"/>
    </row>
    <row r="39" ht="15.75" customHeight="1" s="68">
      <c r="A39" s="126" t="n"/>
      <c r="B39" s="126" t="n"/>
      <c r="C39" s="126" t="n"/>
      <c r="D39" s="126" t="n"/>
      <c r="E39" s="78">
        <f>IF(OR(D39="",G39=""),"",D39*G39)</f>
        <v/>
      </c>
      <c r="F39" s="125" t="n"/>
      <c r="G39" s="125" t="n"/>
      <c r="H39" s="135">
        <f>IF(OR(F39="",G39="",C39=""),"",(G39-F39)/F39*10000*IF(LOWER(C39)="buy",1,-1))</f>
        <v/>
      </c>
      <c r="I39" s="126" t="n"/>
    </row>
    <row r="40" ht="15.75" customHeight="1" s="68">
      <c r="A40" s="126" t="n"/>
      <c r="B40" s="126" t="n"/>
      <c r="C40" s="126" t="n"/>
      <c r="D40" s="126" t="n"/>
      <c r="E40" s="78">
        <f>IF(OR(D40="",G40=""),"",D40*G40)</f>
        <v/>
      </c>
      <c r="F40" s="125" t="n"/>
      <c r="G40" s="125" t="n"/>
      <c r="H40" s="135">
        <f>IF(OR(F40="",G40="",C40=""),"",(G40-F40)/F40*10000*IF(LOWER(C40)="buy",1,-1))</f>
        <v/>
      </c>
      <c r="I40" s="126" t="n"/>
    </row>
    <row r="41" ht="15.75" customHeight="1" s="68">
      <c r="A41" s="126" t="n"/>
      <c r="B41" s="126" t="n"/>
      <c r="C41" s="126" t="n"/>
      <c r="D41" s="126" t="n"/>
      <c r="E41" s="78">
        <f>IF(OR(D41="",G41=""),"",D41*G41)</f>
        <v/>
      </c>
      <c r="F41" s="125" t="n"/>
      <c r="G41" s="125" t="n"/>
      <c r="H41" s="135">
        <f>IF(OR(F41="",G41="",C41=""),"",(G41-F41)/F41*10000*IF(LOWER(C41)="buy",1,-1))</f>
        <v/>
      </c>
      <c r="I41" s="126" t="n"/>
    </row>
    <row r="42" ht="15.75" customHeight="1" s="68">
      <c r="A42" s="126" t="n"/>
      <c r="B42" s="126" t="n"/>
      <c r="C42" s="126" t="n"/>
      <c r="D42" s="126" t="n"/>
      <c r="E42" s="78">
        <f>IF(OR(D42="",G42=""),"",D42*G42)</f>
        <v/>
      </c>
      <c r="F42" s="125" t="n"/>
      <c r="G42" s="125" t="n"/>
      <c r="H42" s="135">
        <f>IF(OR(F42="",G42="",C42=""),"",(G42-F42)/F42*10000*IF(LOWER(C42)="buy",1,-1))</f>
        <v/>
      </c>
      <c r="I42" s="126" t="n"/>
    </row>
    <row r="43" ht="15.75" customHeight="1" s="68">
      <c r="A43" s="126" t="n"/>
      <c r="B43" s="126" t="n"/>
      <c r="C43" s="126" t="n"/>
      <c r="D43" s="126" t="n"/>
      <c r="E43" s="78">
        <f>IF(OR(D43="",G43=""),"",D43*G43)</f>
        <v/>
      </c>
      <c r="F43" s="125" t="n"/>
      <c r="G43" s="125" t="n"/>
      <c r="H43" s="135">
        <f>IF(OR(F43="",G43="",C43=""),"",(G43-F43)/F43*10000*IF(LOWER(C43)="buy",1,-1))</f>
        <v/>
      </c>
      <c r="I43" s="126" t="n"/>
    </row>
    <row r="44" ht="15.75" customHeight="1" s="68">
      <c r="A44" s="126" t="n"/>
      <c r="B44" s="126" t="n"/>
      <c r="C44" s="126" t="n"/>
      <c r="D44" s="126" t="n"/>
      <c r="E44" s="78">
        <f>IF(OR(D44="",G44=""),"",D44*G44)</f>
        <v/>
      </c>
      <c r="F44" s="125" t="n"/>
      <c r="G44" s="125" t="n"/>
      <c r="H44" s="135">
        <f>IF(OR(F44="",G44="",C44=""),"",(G44-F44)/F44*10000*IF(LOWER(C44)="buy",1,-1))</f>
        <v/>
      </c>
      <c r="I44" s="12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Marty O'Leary</dc:creator>
  <dc:language>en-US</dc:language>
  <dcterms:created xsi:type="dcterms:W3CDTF">2026-08-01T17:52:46Z</dcterms:created>
  <dcterms:modified xsi:type="dcterms:W3CDTF">2026-10-15T00:05:25Z</dcterms:modified>
  <cp:lastModifiedBy>Marty O'Leary</cp:lastModifiedBy>
  <cp:revision>0</cp:revision>
</cp:coreProperties>
</file>