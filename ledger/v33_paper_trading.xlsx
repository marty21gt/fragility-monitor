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>
        <v>756.2</v>
      </c>
      <c r="E47" s="84">
        <f>IF(D47="","",D47*C47)</f>
        <v/>
      </c>
      <c r="F47" s="120">
        <f>IF(B47="","",E47/B47)</f>
        <v/>
      </c>
      <c r="G47" s="127" t="n">
        <v>450.617228933</v>
      </c>
      <c r="H47" s="67" t="n">
        <v>83.12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>
        <v>-0.14</v>
      </c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>
        <v>759.66</v>
      </c>
      <c r="E48" s="84">
        <f>IF(D48="","",D48*C48)</f>
        <v/>
      </c>
      <c r="F48" s="120">
        <f>IF(B48="","",E48/B48)</f>
        <v/>
      </c>
      <c r="G48" s="127" t="n">
        <v>450.617228933</v>
      </c>
      <c r="H48" s="67" t="n">
        <v>84.25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L48" s="67" t="inlineStr">
        <is>
          <t>1.63x</t>
        </is>
      </c>
      <c r="M48" s="67" t="inlineStr">
        <is>
          <t>no change - hold current position</t>
        </is>
      </c>
      <c r="N48" s="67" t="inlineStr">
        <is>
          <t>1.61x</t>
        </is>
      </c>
      <c r="O48" s="122" t="n">
        <v>0.89</v>
      </c>
      <c r="P48" s="83" t="n">
        <v>0.55</v>
      </c>
      <c r="Q48" s="83" t="n">
        <v>0.91</v>
      </c>
      <c r="R48" s="83" t="n">
        <v>0.37</v>
      </c>
      <c r="S48" s="67" t="n">
        <v>125</v>
      </c>
      <c r="T48" s="67" t="inlineStr">
        <is>
          <t>above</t>
        </is>
      </c>
      <c r="U48" s="67" t="inlineStr">
        <is>
          <t>No</t>
        </is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>
        <v>-0.14</v>
      </c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>
        <v>757.73</v>
      </c>
      <c r="E49" s="84">
        <f>IF(D49="","",D49*C49)</f>
        <v/>
      </c>
      <c r="F49" s="120">
        <f>IF(B49="","",E49/B49)</f>
        <v/>
      </c>
      <c r="G49" s="127" t="n">
        <v>450.617228933</v>
      </c>
      <c r="H49" s="67" t="n">
        <v>83.62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L49" s="67" t="inlineStr">
        <is>
          <t>1.63x</t>
        </is>
      </c>
      <c r="M49" s="67" t="inlineStr">
        <is>
          <t>no change - hold current position</t>
        </is>
      </c>
      <c r="N49" s="67" t="inlineStr">
        <is>
          <t>1.60x</t>
        </is>
      </c>
      <c r="O49" s="122" t="n">
        <v>0.89</v>
      </c>
      <c r="P49" s="83" t="n">
        <v>0.53</v>
      </c>
      <c r="Q49" s="83" t="n">
        <v>0.91</v>
      </c>
      <c r="R49" s="83" t="n">
        <v>0.37</v>
      </c>
      <c r="S49" s="67" t="n">
        <v>126</v>
      </c>
      <c r="T49" s="67" t="inlineStr">
        <is>
          <t>above</t>
        </is>
      </c>
      <c r="U49" s="67" t="inlineStr">
        <is>
          <t>No</t>
        </is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>
        <v>-0.14</v>
      </c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>
        <v>104.006950258</v>
      </c>
      <c r="D50" s="84" t="n">
        <v>747.58</v>
      </c>
      <c r="E50" s="84">
        <f>IF(D50="","",D50*C50)</f>
        <v/>
      </c>
      <c r="F50" s="120">
        <f>IF(B50="","",E50/B50)</f>
        <v/>
      </c>
      <c r="G50" s="127" t="n">
        <v>450.617228933</v>
      </c>
      <c r="H50" s="67" t="n">
        <v>80.23</v>
      </c>
      <c r="I50" s="84">
        <f>IF(H50="","",H50*G50)</f>
        <v/>
      </c>
      <c r="J50" s="120">
        <f>IF(B50="","",I50/B50)</f>
        <v/>
      </c>
      <c r="K50" s="121">
        <f>IF(B50="","",F50+J50*3)</f>
        <v/>
      </c>
      <c r="L50" s="67" t="inlineStr">
        <is>
          <t>1.63x</t>
        </is>
      </c>
      <c r="M50" s="67" t="inlineStr">
        <is>
          <t>no change - hold current position</t>
        </is>
      </c>
      <c r="N50" s="67" t="inlineStr">
        <is>
          <t>1.60x</t>
        </is>
      </c>
      <c r="O50" s="122" t="n">
        <v>0.89</v>
      </c>
      <c r="P50" s="83" t="n">
        <v>0.5600000000000001</v>
      </c>
      <c r="Q50" s="83" t="n">
        <v>0.91</v>
      </c>
      <c r="R50" s="83" t="n">
        <v>0.37</v>
      </c>
      <c r="S50" s="67" t="n">
        <v>127</v>
      </c>
      <c r="T50" s="67" t="inlineStr">
        <is>
          <t>above</t>
        </is>
      </c>
      <c r="U50" s="67" t="inlineStr">
        <is>
          <t>No</t>
        </is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>
        <v>-0.14</v>
      </c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>
        <v>104.006950258</v>
      </c>
      <c r="D51" s="84" t="n">
        <v>751.27</v>
      </c>
      <c r="E51" s="84">
        <f>IF(D51="","",D51*C51)</f>
        <v/>
      </c>
      <c r="F51" s="120">
        <f>IF(B51="","",E51/B51)</f>
        <v/>
      </c>
      <c r="G51" s="127" t="n">
        <v>450.617228933</v>
      </c>
      <c r="H51" s="67" t="n">
        <v>81.28</v>
      </c>
      <c r="I51" s="84">
        <f>IF(H51="","",H51*G51)</f>
        <v/>
      </c>
      <c r="J51" s="120">
        <f>IF(B51="","",I51/B51)</f>
        <v/>
      </c>
      <c r="K51" s="121">
        <f>IF(B51="","",F51+J51*3)</f>
        <v/>
      </c>
      <c r="L51" s="67" t="inlineStr">
        <is>
          <t>1.63x</t>
        </is>
      </c>
      <c r="M51" s="67" t="inlineStr">
        <is>
          <t>no change - hold current position</t>
        </is>
      </c>
      <c r="N51" s="67" t="inlineStr">
        <is>
          <t>1.57x</t>
        </is>
      </c>
      <c r="O51" s="122" t="n">
        <v>0.89</v>
      </c>
      <c r="P51" s="83" t="n">
        <v>0.59</v>
      </c>
      <c r="Q51" s="83" t="n">
        <v>0.91</v>
      </c>
      <c r="R51" s="83" t="n">
        <v>0.37</v>
      </c>
      <c r="S51" s="67" t="n">
        <v>128</v>
      </c>
      <c r="T51" s="67" t="inlineStr">
        <is>
          <t>above</t>
        </is>
      </c>
      <c r="U51" s="67" t="inlineStr">
        <is>
          <t>No</t>
        </is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>
        <v>-0.14</v>
      </c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>
        <v>104.006950258</v>
      </c>
      <c r="D52" s="84" t="n">
        <v>746.04</v>
      </c>
      <c r="E52" s="84">
        <f>IF(D52="","",D52*C52)</f>
        <v/>
      </c>
      <c r="F52" s="120">
        <f>IF(B52="","",E52/B52)</f>
        <v/>
      </c>
      <c r="G52" s="127" t="n">
        <v>450.617228933</v>
      </c>
      <c r="H52" s="67" t="n">
        <v>79.61</v>
      </c>
      <c r="I52" s="84">
        <f>IF(H52="","",H52*G52)</f>
        <v/>
      </c>
      <c r="J52" s="120">
        <f>IF(B52="","",I52/B52)</f>
        <v/>
      </c>
      <c r="K52" s="121">
        <f>IF(B52="","",F52+J52*3)</f>
        <v/>
      </c>
      <c r="L52" s="67" t="inlineStr">
        <is>
          <t>1.63x</t>
        </is>
      </c>
      <c r="M52" s="67" t="inlineStr">
        <is>
          <t>no change - hold current position</t>
        </is>
      </c>
      <c r="N52" s="67" t="inlineStr">
        <is>
          <t>1.60x</t>
        </is>
      </c>
      <c r="O52" s="122" t="n">
        <v>0.89</v>
      </c>
      <c r="P52" s="83" t="n">
        <v>0.53</v>
      </c>
      <c r="Q52" s="83" t="n">
        <v>0.91</v>
      </c>
      <c r="R52" s="83" t="n">
        <v>0.37</v>
      </c>
      <c r="S52" s="67" t="n">
        <v>129</v>
      </c>
      <c r="T52" s="67" t="inlineStr">
        <is>
          <t>above</t>
        </is>
      </c>
      <c r="U52" s="67" t="inlineStr">
        <is>
          <t>No</t>
        </is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>
        <v>-0.14</v>
      </c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>
        <v>104.006950258</v>
      </c>
      <c r="D53" s="84" t="n">
        <v>743.5700000000001</v>
      </c>
      <c r="E53" s="84">
        <f>IF(D53="","",D53*C53)</f>
        <v/>
      </c>
      <c r="F53" s="120">
        <f>IF(B53="","",E53/B53)</f>
        <v/>
      </c>
      <c r="G53" s="127" t="n">
        <v>450.617228933</v>
      </c>
      <c r="H53" s="67" t="n">
        <v>78.81</v>
      </c>
      <c r="I53" s="84">
        <f>IF(H53="","",H53*G53)</f>
        <v/>
      </c>
      <c r="J53" s="120">
        <f>IF(B53="","",I53/B53)</f>
        <v/>
      </c>
      <c r="K53" s="121">
        <f>IF(B53="","",F53+J53*3)</f>
        <v/>
      </c>
      <c r="L53" s="67" t="inlineStr">
        <is>
          <t>1.63x</t>
        </is>
      </c>
      <c r="M53" s="67" t="inlineStr">
        <is>
          <t>no change - hold current position</t>
        </is>
      </c>
      <c r="N53" s="67" t="inlineStr">
        <is>
          <t>1.60x</t>
        </is>
      </c>
      <c r="O53" s="122" t="n">
        <v>0.89</v>
      </c>
      <c r="P53" s="83" t="n">
        <v>0.54</v>
      </c>
      <c r="Q53" s="83" t="n">
        <v>0.91</v>
      </c>
      <c r="R53" s="83" t="n">
        <v>0.37</v>
      </c>
      <c r="S53" s="67" t="n">
        <v>130</v>
      </c>
      <c r="T53" s="67" t="inlineStr">
        <is>
          <t>above</t>
        </is>
      </c>
      <c r="U53" s="67" t="inlineStr">
        <is>
          <t>No</t>
        </is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>
        <v>-0.14</v>
      </c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>
        <v>104.006950258</v>
      </c>
      <c r="D54" s="84" t="n">
        <v>728.95</v>
      </c>
      <c r="E54" s="84">
        <f>IF(D54="","",D54*C54)</f>
        <v/>
      </c>
      <c r="F54" s="120">
        <f>IF(B54="","",E54/B54)</f>
        <v/>
      </c>
      <c r="G54" s="127" t="n">
        <v>450.617228933</v>
      </c>
      <c r="H54" s="67" t="n">
        <v>74.12</v>
      </c>
      <c r="I54" s="84">
        <f>IF(H54="","",H54*G54)</f>
        <v/>
      </c>
      <c r="J54" s="120">
        <f>IF(B54="","",I54/B54)</f>
        <v/>
      </c>
      <c r="K54" s="121">
        <f>IF(B54="","",F54+J54*3)</f>
        <v/>
      </c>
      <c r="L54" s="67" t="inlineStr">
        <is>
          <t>1.63x</t>
        </is>
      </c>
      <c r="M54" s="67" t="inlineStr">
        <is>
          <t>no change - hold current position</t>
        </is>
      </c>
      <c r="N54" s="67" t="inlineStr">
        <is>
          <t>1.62x</t>
        </is>
      </c>
      <c r="O54" s="122" t="n">
        <v>0.89</v>
      </c>
      <c r="P54" s="83" t="n">
        <v>0.54</v>
      </c>
      <c r="Q54" s="83" t="n">
        <v>0.91</v>
      </c>
      <c r="R54" s="83" t="n">
        <v>0.37</v>
      </c>
      <c r="S54" s="67" t="n">
        <v>131</v>
      </c>
      <c r="T54" s="67" t="inlineStr">
        <is>
          <t>above</t>
        </is>
      </c>
      <c r="U54" s="67" t="inlineStr">
        <is>
          <t>No</t>
        </is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>
        <v>-0.14</v>
      </c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>
        <v>114.784904705</v>
      </c>
      <c r="D55" s="84" t="n">
        <v>728</v>
      </c>
      <c r="E55" s="84">
        <f>IF(D55="","",D55*C55)</f>
        <v/>
      </c>
      <c r="F55" s="120">
        <f>IF(B55="","",E55/B55)</f>
        <v/>
      </c>
      <c r="G55" s="127" t="n">
        <v>340.980401015</v>
      </c>
      <c r="H55" s="67" t="n">
        <v>73.81999999999999</v>
      </c>
      <c r="I55" s="84">
        <f>IF(H55="","",H55*G55)</f>
        <v/>
      </c>
      <c r="J55" s="120">
        <f>IF(B55="","",I55/B55)</f>
        <v/>
      </c>
      <c r="K55" s="121">
        <f>IF(B55="","",F55+J55*3)</f>
        <v/>
      </c>
      <c r="L55" s="67" t="inlineStr">
        <is>
          <t>1.46x</t>
        </is>
      </c>
      <c r="M55" s="67" t="inlineStr">
        <is>
          <t>REBALANCE — 68.51% QQQ / 31.49% TQQQ → 76.83% QQQ / 23.17% TQQQ</t>
        </is>
      </c>
      <c r="N55" s="67" t="inlineStr">
        <is>
          <t>1.46x</t>
        </is>
      </c>
      <c r="O55" s="122" t="n">
        <v>0.89</v>
      </c>
      <c r="P55" s="83" t="n">
        <v>0.59</v>
      </c>
      <c r="Q55" s="83" t="n">
        <v>0.91</v>
      </c>
      <c r="R55" s="83" t="n">
        <v>0.37</v>
      </c>
      <c r="S55" s="67" t="n">
        <v>132</v>
      </c>
      <c r="T55" s="67" t="inlineStr">
        <is>
          <t>above</t>
        </is>
      </c>
      <c r="U55" s="67" t="inlineStr">
        <is>
          <t>No</t>
        </is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>
        <v>-0.01</v>
      </c>
      <c r="AH55" s="126" t="inlineStr">
        <is>
          <t>Y</t>
        </is>
      </c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>
        <v>106.861843804</v>
      </c>
      <c r="D56" s="84" t="n">
        <v>709.8</v>
      </c>
      <c r="E56" s="84">
        <f>IF(D56="","",D56*C56)</f>
        <v/>
      </c>
      <c r="F56" s="120">
        <f>IF(B56="","",E56/B56)</f>
        <v/>
      </c>
      <c r="G56" s="127" t="n">
        <v>420.916806674</v>
      </c>
      <c r="H56" s="67" t="n">
        <v>68.20999999999999</v>
      </c>
      <c r="I56" s="84">
        <f>IF(H56="","",H56*G56)</f>
        <v/>
      </c>
      <c r="J56" s="120">
        <f>IF(B56="","",I56/B56)</f>
        <v/>
      </c>
      <c r="K56" s="121">
        <f>IF(B56="","",F56+J56*3)</f>
        <v/>
      </c>
      <c r="L56" s="67" t="inlineStr">
        <is>
          <t>1.57x</t>
        </is>
      </c>
      <c r="M56" s="67" t="inlineStr">
        <is>
          <t>REBALANCE — 76.83% QQQ / 23.17% TQQQ → 71.66% QQQ / 28.34% TQQQ</t>
        </is>
      </c>
      <c r="N56" s="67" t="inlineStr">
        <is>
          <t>1.57x</t>
        </is>
      </c>
      <c r="O56" s="122" t="n">
        <v>0.89</v>
      </c>
      <c r="P56" s="83" t="n">
        <v>0.54</v>
      </c>
      <c r="Q56" s="83" t="n">
        <v>0.91</v>
      </c>
      <c r="R56" s="83" t="n">
        <v>0.37</v>
      </c>
      <c r="S56" s="67" t="n">
        <v>133</v>
      </c>
      <c r="T56" s="67" t="inlineStr">
        <is>
          <t>above</t>
        </is>
      </c>
      <c r="U56" s="67" t="inlineStr">
        <is>
          <t>No</t>
        </is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>
        <v>-0.17</v>
      </c>
      <c r="AH56" s="126" t="inlineStr">
        <is>
          <t>Y</t>
        </is>
      </c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>
        <v>120.458865998</v>
      </c>
      <c r="D57" s="84" t="n">
        <v>718.36</v>
      </c>
      <c r="E57" s="84">
        <f>IF(D57="","",D57*C57)</f>
        <v/>
      </c>
      <c r="F57" s="120">
        <f>IF(B57="","",E57/B57)</f>
        <v/>
      </c>
      <c r="G57" s="127" t="n">
        <v>282.904091218</v>
      </c>
      <c r="H57" s="67" t="n">
        <v>70.64</v>
      </c>
      <c r="I57" s="84">
        <f>IF(H57="","",H57*G57)</f>
        <v/>
      </c>
      <c r="J57" s="120">
        <f>IF(B57="","",I57/B57)</f>
        <v/>
      </c>
      <c r="K57" s="121">
        <f>IF(B57="","",F57+J57*3)</f>
        <v/>
      </c>
      <c r="L57" s="67" t="inlineStr">
        <is>
          <t>1.38x</t>
        </is>
      </c>
      <c r="M57" s="67" t="inlineStr">
        <is>
          <t>REBALANCE — 71.66% QQQ / 28.34% TQQQ → 81.16% QQQ / 18.84% TQQQ</t>
        </is>
      </c>
      <c r="N57" s="67" t="inlineStr">
        <is>
          <t>1.38x</t>
        </is>
      </c>
      <c r="O57" s="122" t="n">
        <v>0.89</v>
      </c>
      <c r="P57" s="83" t="n">
        <v>0.57</v>
      </c>
      <c r="Q57" s="83" t="n">
        <v>0.91</v>
      </c>
      <c r="R57" s="83" t="n">
        <v>0.37</v>
      </c>
      <c r="S57" s="67" t="n">
        <v>134</v>
      </c>
      <c r="T57" s="67" t="inlineStr">
        <is>
          <t>above</t>
        </is>
      </c>
      <c r="U57" s="67" t="inlineStr">
        <is>
          <t>No</t>
        </is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>
        <v>-1.38</v>
      </c>
      <c r="AH57" s="126" t="inlineStr">
        <is>
          <t>Y</t>
        </is>
      </c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>
        <v>104.841868283</v>
      </c>
      <c r="D58" s="84" t="n">
        <v>717.63</v>
      </c>
      <c r="E58" s="84">
        <f>IF(D58="","",D58*C58)</f>
        <v/>
      </c>
      <c r="F58" s="120">
        <f>IF(B58="","",E58/B58)</f>
        <v/>
      </c>
      <c r="G58" s="127" t="n">
        <v>444.008661654</v>
      </c>
      <c r="H58" s="67" t="n">
        <v>70.41</v>
      </c>
      <c r="I58" s="84">
        <f>IF(H58="","",H58*G58)</f>
        <v/>
      </c>
      <c r="J58" s="120">
        <f>IF(B58="","",I58/B58)</f>
        <v/>
      </c>
      <c r="K58" s="121">
        <f>IF(B58="","",F58+J58*3)</f>
        <v/>
      </c>
      <c r="L58" s="67" t="inlineStr">
        <is>
          <t>1.58x</t>
        </is>
      </c>
      <c r="M58" s="67" t="inlineStr">
        <is>
          <t>REBALANCE — 81.16% QQQ / 18.84% TQQQ → 70.75% QQQ / 29.25% TQQQ</t>
        </is>
      </c>
      <c r="N58" s="67" t="inlineStr">
        <is>
          <t>1.58x</t>
        </is>
      </c>
      <c r="O58" s="122" t="n">
        <v>0.89</v>
      </c>
      <c r="P58" s="83" t="n">
        <v>0.58</v>
      </c>
      <c r="Q58" s="83" t="n">
        <v>0.91</v>
      </c>
      <c r="R58" s="83" t="n">
        <v>0.37</v>
      </c>
      <c r="S58" s="67" t="n">
        <v>135</v>
      </c>
      <c r="T58" s="67" t="inlineStr">
        <is>
          <t>above</t>
        </is>
      </c>
      <c r="U58" s="67" t="inlineStr">
        <is>
          <t>No</t>
        </is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>
        <v>-4.57</v>
      </c>
      <c r="AH58" s="126" t="inlineStr">
        <is>
          <t>Y</t>
        </is>
      </c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>
        <v>104.841868283</v>
      </c>
      <c r="D59" s="84" t="n">
        <v>725.2</v>
      </c>
      <c r="E59" s="84">
        <f>IF(D59="","",D59*C59)</f>
        <v/>
      </c>
      <c r="F59" s="120">
        <f>IF(B59="","",E59/B59)</f>
        <v/>
      </c>
      <c r="G59" s="127" t="n">
        <v>444.008661654</v>
      </c>
      <c r="H59" s="67" t="n">
        <v>72.61</v>
      </c>
      <c r="I59" s="84">
        <f>IF(H59="","",H59*G59)</f>
        <v/>
      </c>
      <c r="J59" s="120">
        <f>IF(B59="","",I59/B59)</f>
        <v/>
      </c>
      <c r="K59" s="121">
        <f>IF(B59="","",F59+J59*3)</f>
        <v/>
      </c>
      <c r="L59" s="67" t="inlineStr">
        <is>
          <t>1.58x</t>
        </is>
      </c>
      <c r="M59" s="67" t="inlineStr">
        <is>
          <t>no change - hold current position</t>
        </is>
      </c>
      <c r="N59" s="67" t="inlineStr">
        <is>
          <t>1.61x</t>
        </is>
      </c>
      <c r="O59" s="122" t="n">
        <v>0.89</v>
      </c>
      <c r="P59" s="83" t="n">
        <v>0.58</v>
      </c>
      <c r="Q59" s="83" t="n">
        <v>0.91</v>
      </c>
      <c r="R59" s="83" t="n">
        <v>0.37</v>
      </c>
      <c r="S59" s="67" t="n">
        <v>136</v>
      </c>
      <c r="T59" s="67" t="inlineStr">
        <is>
          <t>above</t>
        </is>
      </c>
      <c r="U59" s="67" t="inlineStr">
        <is>
          <t>No</t>
        </is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>
        <v>-4.81</v>
      </c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>
        <v>104.841868283</v>
      </c>
      <c r="D60" s="84" t="n">
        <v>704.47</v>
      </c>
      <c r="E60" s="84">
        <f>IF(D60="","",D60*C60)</f>
        <v/>
      </c>
      <c r="F60" s="120">
        <f>IF(B60="","",E60/B60)</f>
        <v/>
      </c>
      <c r="G60" s="127" t="n">
        <v>444.008661654</v>
      </c>
      <c r="H60" s="67" t="n">
        <v>66.42</v>
      </c>
      <c r="I60" s="84">
        <f>IF(H60="","",H60*G60)</f>
        <v/>
      </c>
      <c r="J60" s="120">
        <f>IF(B60="","",I60/B60)</f>
        <v/>
      </c>
      <c r="K60" s="121">
        <f>IF(B60="","",F60+J60*3)</f>
        <v/>
      </c>
      <c r="L60" s="67" t="inlineStr">
        <is>
          <t>1.58x</t>
        </is>
      </c>
      <c r="M60" s="67" t="inlineStr">
        <is>
          <t>no change - hold current position</t>
        </is>
      </c>
      <c r="N60" s="67" t="inlineStr">
        <is>
          <t>1.59x</t>
        </is>
      </c>
      <c r="O60" s="122" t="n">
        <v>0.89</v>
      </c>
      <c r="P60" s="83" t="n">
        <v>0.52</v>
      </c>
      <c r="Q60" s="83" t="n">
        <v>0.91</v>
      </c>
      <c r="R60" s="83" t="n">
        <v>0.37</v>
      </c>
      <c r="S60" s="67" t="n">
        <v>137</v>
      </c>
      <c r="T60" s="67" t="inlineStr">
        <is>
          <t>above</t>
        </is>
      </c>
      <c r="U60" s="67" t="inlineStr">
        <is>
          <t>No</t>
        </is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>
        <v>-4.81</v>
      </c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>
        <v>122.850621579</v>
      </c>
      <c r="D61" s="84" t="n">
        <v>704.4</v>
      </c>
      <c r="E61" s="84">
        <f>IF(D61="","",D61*C61)</f>
        <v/>
      </c>
      <c r="F61" s="120">
        <f>IF(B61="","",E61/B61)</f>
        <v/>
      </c>
      <c r="G61" s="127" t="n">
        <v>250.933336979</v>
      </c>
      <c r="H61" s="67" t="n">
        <v>66.29000000000001</v>
      </c>
      <c r="I61" s="84">
        <f>IF(H61="","",H61*G61)</f>
        <v/>
      </c>
      <c r="J61" s="120">
        <f>IF(B61="","",I61/B61)</f>
        <v/>
      </c>
      <c r="K61" s="121">
        <f>IF(B61="","",F61+J61*3)</f>
        <v/>
      </c>
      <c r="L61" s="67" t="inlineStr">
        <is>
          <t>1.32x</t>
        </is>
      </c>
      <c r="M61" s="67" t="inlineStr">
        <is>
          <t>REBALANCE — 70.75% QQQ / 29.25% TQQQ → 83.75% QQQ / 16.25% TQQQ</t>
        </is>
      </c>
      <c r="N61" s="67" t="inlineStr">
        <is>
          <t>1.32x</t>
        </is>
      </c>
      <c r="O61" s="122" t="n">
        <v>0.89</v>
      </c>
      <c r="P61" s="83" t="n">
        <v>0.5600000000000001</v>
      </c>
      <c r="Q61" s="83" t="n">
        <v>0.91</v>
      </c>
      <c r="R61" s="83" t="n">
        <v>0.37</v>
      </c>
      <c r="S61" s="67" t="n">
        <v>138</v>
      </c>
      <c r="T61" s="67" t="inlineStr">
        <is>
          <t>above</t>
        </is>
      </c>
      <c r="U61" s="67" t="inlineStr">
        <is>
          <t>No</t>
        </is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>
        <v>0</v>
      </c>
      <c r="AH61" s="126" t="inlineStr">
        <is>
          <t>Y</t>
        </is>
      </c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>
        <v>122.850621579</v>
      </c>
      <c r="D62" s="84" t="n">
        <v>712.2</v>
      </c>
      <c r="E62" s="84">
        <f>IF(D62="","",D62*C62)</f>
        <v/>
      </c>
      <c r="F62" s="120">
        <f>IF(B62="","",E62/B62)</f>
        <v/>
      </c>
      <c r="G62" s="127" t="n">
        <v>250.933336979</v>
      </c>
      <c r="H62" t="n">
        <v>68.43000000000001</v>
      </c>
      <c r="I62" s="84">
        <f>IF(H62="","",H62*G62)</f>
        <v/>
      </c>
      <c r="J62" s="120">
        <f>IF(B62="","",I62/B62)</f>
        <v/>
      </c>
      <c r="K62" s="121">
        <f>IF(B62="","",F62+J62*3)</f>
        <v/>
      </c>
      <c r="L62" s="67" t="inlineStr">
        <is>
          <t>1.32x</t>
        </is>
      </c>
      <c r="M62" s="67" t="inlineStr">
        <is>
          <t>no change - hold current position</t>
        </is>
      </c>
      <c r="N62" s="67" t="inlineStr">
        <is>
          <t>1.33x</t>
        </is>
      </c>
      <c r="O62" s="122" t="n">
        <v>0.89</v>
      </c>
      <c r="P62" s="83" t="n">
        <v>0.57</v>
      </c>
      <c r="Q62" s="83" t="n">
        <v>0.91</v>
      </c>
      <c r="R62" s="83" t="n">
        <v>0.37</v>
      </c>
      <c r="S62" s="67" t="n">
        <v>139</v>
      </c>
      <c r="T62" s="67" t="inlineStr">
        <is>
          <t>above</t>
        </is>
      </c>
      <c r="U62" s="67" t="inlineStr">
        <is>
          <t>No</t>
        </is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>
        <v>-0.28</v>
      </c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/>
      <c r="D63" s="84" t="n"/>
      <c r="E63" s="84">
        <f>IF(D63="","",D63*C63)</f>
        <v/>
      </c>
      <c r="F63" s="120">
        <f>IF(B63="","",E63/B63)</f>
        <v/>
      </c>
      <c r="G63" s="127" t="n"/>
      <c r="I63" s="84">
        <f>IF(H63="","",H63*G63)</f>
        <v/>
      </c>
      <c r="J63" s="120">
        <f>IF(B63="","",I63/B63)</f>
        <v/>
      </c>
      <c r="K63" s="121">
        <f>IF(B63="","",F63+J63*3)</f>
        <v/>
      </c>
      <c r="L63" t="inlineStr">
        <is>
          <t>1.32x</t>
        </is>
      </c>
      <c r="M63" t="inlineStr">
        <is>
          <t>no change - hold current position</t>
        </is>
      </c>
      <c r="N63" t="inlineStr">
        <is>
          <t>1.33x</t>
        </is>
      </c>
      <c r="O63" s="122" t="n">
        <v>0.89</v>
      </c>
      <c r="P63" s="83" t="n">
        <v>0.5600000000000001</v>
      </c>
      <c r="Q63" s="83" t="n">
        <v>0.91</v>
      </c>
      <c r="R63" s="83" t="n">
        <v>0.37</v>
      </c>
      <c r="S63" t="n">
        <v>140</v>
      </c>
      <c r="T63" t="inlineStr">
        <is>
          <t>above</t>
        </is>
      </c>
      <c r="U63" t="inlineStr">
        <is>
          <t>No</t>
        </is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/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/>
      <c r="D64" s="84" t="n"/>
      <c r="E64" s="84">
        <f>IF(D64="","",D64*C64)</f>
        <v/>
      </c>
      <c r="F64" s="120">
        <f>IF(B64="","",E64/B64)</f>
        <v/>
      </c>
      <c r="G64" s="127" t="n"/>
      <c r="I64" s="84">
        <f>IF(H64="","",H64*G64)</f>
        <v/>
      </c>
      <c r="J64" s="120">
        <f>IF(B64="","",I64/B64)</f>
        <v/>
      </c>
      <c r="K64" s="121">
        <f>IF(B64="","",F64+J64*3)</f>
        <v/>
      </c>
      <c r="O64" s="122" t="n"/>
      <c r="P64" s="83" t="n"/>
      <c r="Q64" s="83" t="n">
        <v>0.91</v>
      </c>
      <c r="R64" s="83" t="n">
        <v>0.37</v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/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/>
      <c r="D65" s="84" t="n"/>
      <c r="E65" s="84">
        <f>IF(D65="","",D65*C65)</f>
        <v/>
      </c>
      <c r="F65" s="120">
        <f>IF(B65="","",E65/B65)</f>
        <v/>
      </c>
      <c r="G65" s="127" t="n"/>
      <c r="I65" s="84">
        <f>IF(H65="","",H65*G65)</f>
        <v/>
      </c>
      <c r="J65" s="120">
        <f>IF(B65="","",I65/B65)</f>
        <v/>
      </c>
      <c r="K65" s="121">
        <f>IF(B65="","",F65+J65*3)</f>
        <v/>
      </c>
      <c r="O65" s="122" t="n"/>
      <c r="P65" s="83" t="n"/>
      <c r="Q65" s="83" t="n">
        <v>0.91</v>
      </c>
      <c r="R65" s="83" t="n">
        <v>0.37</v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/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/>
      <c r="D66" s="84" t="n"/>
      <c r="E66" s="84">
        <f>IF(D66="","",D66*C66)</f>
        <v/>
      </c>
      <c r="F66" s="120">
        <f>IF(B66="","",E66/B66)</f>
        <v/>
      </c>
      <c r="G66" s="127" t="n"/>
      <c r="I66" s="84">
        <f>IF(H66="","",H66*G66)</f>
        <v/>
      </c>
      <c r="J66" s="120">
        <f>IF(B66="","",I66/B66)</f>
        <v/>
      </c>
      <c r="K66" s="121">
        <f>IF(B66="","",F66+J66*3)</f>
        <v/>
      </c>
      <c r="O66" s="122" t="n"/>
      <c r="P66" s="83" t="n"/>
      <c r="Q66" s="83" t="n">
        <v>0.91</v>
      </c>
      <c r="R66" s="83" t="n">
        <v>0.37</v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/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O67" s="122" t="n"/>
      <c r="P67" s="83" t="n"/>
      <c r="Q67" s="83" t="n"/>
      <c r="R67" s="83" t="n"/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31" t="n">
        <v>46310</v>
      </c>
      <c r="B25" s="73" t="inlineStr">
        <is>
          <t>TQQQ</t>
        </is>
      </c>
      <c r="C25" s="73" t="inlineStr">
        <is>
          <t>sell</t>
        </is>
      </c>
      <c r="D25" s="73" t="n">
        <v>109.636827918</v>
      </c>
      <c r="E25" s="78">
        <f>IF(OR(D25="",G25=""),"",D25*G25)</f>
        <v/>
      </c>
      <c r="F25" s="78" t="n">
        <v>70.485</v>
      </c>
      <c r="G25" s="78" t="n">
        <v>70.49529</v>
      </c>
      <c r="H25" s="135">
        <f>IF(OR(F25="",G25="",C25=""),"",(G25-F25)/F25*10000*IF(LOWER(C25)="buy",1,-1))</f>
        <v/>
      </c>
      <c r="I25" s="134" t="n"/>
    </row>
    <row r="26" ht="15.75" customHeight="1" s="68">
      <c r="A26" s="131" t="n">
        <v>46310</v>
      </c>
      <c r="B26" s="73" t="inlineStr">
        <is>
          <t>QQQ</t>
        </is>
      </c>
      <c r="C26" s="73" t="inlineStr">
        <is>
          <t>buy</t>
        </is>
      </c>
      <c r="D26" s="73" t="n">
        <v>10.777954447</v>
      </c>
      <c r="E26" s="78">
        <f>IF(OR(D26="",G26=""),"",D26*G26)</f>
        <v/>
      </c>
      <c r="F26" s="78" t="n">
        <v>717.1900000000001</v>
      </c>
      <c r="G26" s="78" t="n">
        <v>717.088761</v>
      </c>
      <c r="H26" s="135">
        <f>IF(OR(F26="",G26="",C26=""),"",(G26-F26)/F26*10000*IF(LOWER(C26)="buy",1,-1))</f>
        <v/>
      </c>
      <c r="I26" s="134" t="n"/>
    </row>
    <row r="27" ht="15.75" customHeight="1" s="68">
      <c r="A27" s="131" t="n">
        <v>46311</v>
      </c>
      <c r="B27" s="73" t="inlineStr">
        <is>
          <t>QQQ</t>
        </is>
      </c>
      <c r="C27" s="73" t="inlineStr">
        <is>
          <t>sell</t>
        </is>
      </c>
      <c r="D27" s="73" t="n">
        <v>7.923060901</v>
      </c>
      <c r="E27" s="78">
        <f>IF(OR(D27="",G27=""),"",D27*G27)</f>
        <v/>
      </c>
      <c r="F27" s="78" t="n">
        <v>720.205</v>
      </c>
      <c r="G27" s="78" t="n">
        <v>720.1799999999999</v>
      </c>
      <c r="H27" s="135">
        <f>IF(OR(F27="",G27="",C27=""),"",(G27-F27)/F27*10000*IF(LOWER(C27)="buy",1,-1))</f>
        <v/>
      </c>
      <c r="I27" s="134" t="n"/>
    </row>
    <row r="28" ht="15.75" customHeight="1" s="68">
      <c r="A28" s="131" t="n">
        <v>46311</v>
      </c>
      <c r="B28" s="73" t="inlineStr">
        <is>
          <t>TQQQ</t>
        </is>
      </c>
      <c r="C28" s="73" t="inlineStr">
        <is>
          <t>buy</t>
        </is>
      </c>
      <c r="D28" s="73" t="n">
        <v>79.936405659</v>
      </c>
      <c r="E28" s="78">
        <f>IF(OR(D28="",G28=""),"",D28*G28)</f>
        <v/>
      </c>
      <c r="F28" s="78" t="n">
        <v>71.36499999999999</v>
      </c>
      <c r="G28" s="78" t="n">
        <v>71.38199400000001</v>
      </c>
      <c r="H28" s="135">
        <f>IF(OR(F28="",G28="",C28=""),"",(G28-F28)/F28*10000*IF(LOWER(C28)="buy",1,-1))</f>
        <v/>
      </c>
      <c r="I28" s="134" t="n"/>
    </row>
    <row r="29" ht="15.75" customHeight="1" s="68">
      <c r="A29" s="131" t="n">
        <v>46314</v>
      </c>
      <c r="B29" s="73" t="inlineStr">
        <is>
          <t>TQQQ</t>
        </is>
      </c>
      <c r="C29" s="73" t="inlineStr">
        <is>
          <t>sell</t>
        </is>
      </c>
      <c r="D29" s="73" t="n">
        <v>138.012715456</v>
      </c>
      <c r="E29" s="78">
        <f>IF(OR(D29="",G29=""),"",D29*G29)</f>
        <v/>
      </c>
      <c r="F29" s="78" t="n">
        <v>70.935</v>
      </c>
      <c r="G29" s="78" t="n">
        <v>70.80014300000001</v>
      </c>
      <c r="H29" s="135">
        <f>IF(OR(F29="",G29="",C29=""),"",(G29-F29)/F29*10000*IF(LOWER(C29)="buy",1,-1))</f>
        <v/>
      </c>
      <c r="I29" s="134" t="n"/>
    </row>
    <row r="30" ht="15.75" customHeight="1" s="68">
      <c r="A30" s="131" t="n">
        <v>46314</v>
      </c>
      <c r="B30" s="73" t="inlineStr">
        <is>
          <t>QQQ</t>
        </is>
      </c>
      <c r="C30" s="73" t="inlineStr">
        <is>
          <t>buy</t>
        </is>
      </c>
      <c r="D30" s="73" t="n">
        <v>13.597022194</v>
      </c>
      <c r="E30" s="78">
        <f>IF(OR(D30="",G30=""),"",D30*G30)</f>
        <v/>
      </c>
      <c r="F30" s="78" t="n">
        <v>719.34</v>
      </c>
      <c r="G30" s="78" t="n">
        <v>718.716191</v>
      </c>
      <c r="H30" s="135">
        <f>IF(OR(F30="",G30="",C30=""),"",(G30-F30)/F30*10000*IF(LOWER(C30)="buy",1,-1))</f>
        <v/>
      </c>
      <c r="I30" s="134" t="n"/>
    </row>
    <row r="31" ht="15.75" customHeight="1" s="68">
      <c r="A31" s="131" t="n">
        <v>46315</v>
      </c>
      <c r="B31" s="73" t="inlineStr">
        <is>
          <t>QQQ</t>
        </is>
      </c>
      <c r="C31" s="73" t="inlineStr">
        <is>
          <t>sell</t>
        </is>
      </c>
      <c r="D31" s="73" t="n">
        <v>15.616997715</v>
      </c>
      <c r="E31" s="78">
        <f>IF(OR(D31="",G31=""),"",D31*G31)</f>
        <v/>
      </c>
      <c r="F31" s="78" t="n">
        <v>713.535</v>
      </c>
      <c r="G31" s="78" t="n">
        <v>713.4521120000001</v>
      </c>
      <c r="H31" s="135">
        <f>IF(OR(F31="",G31="",C31=""),"",(G31-F31)/F31*10000*IF(LOWER(C31)="buy",1,-1))</f>
        <v/>
      </c>
      <c r="I31" s="134" t="n"/>
    </row>
    <row r="32" ht="15.75" customHeight="1" s="68">
      <c r="A32" s="131" t="n">
        <v>46315</v>
      </c>
      <c r="B32" s="73" t="inlineStr">
        <is>
          <t>TQQQ</t>
        </is>
      </c>
      <c r="C32" s="73" t="inlineStr">
        <is>
          <t>buy</t>
        </is>
      </c>
      <c r="D32" s="73" t="n">
        <v>161.104570436</v>
      </c>
      <c r="E32" s="78">
        <f>IF(OR(D32="",G32=""),"",D32*G32)</f>
        <v/>
      </c>
      <c r="F32" s="78" t="n">
        <v>69.215</v>
      </c>
      <c r="G32" s="78" t="n">
        <v>69.178359</v>
      </c>
      <c r="H32" s="135">
        <f>IF(OR(F32="",G32="",C32=""),"",(G32-F32)/F32*10000*IF(LOWER(C32)="buy",1,-1))</f>
        <v/>
      </c>
      <c r="I32" s="134" t="n"/>
    </row>
    <row r="33" ht="15.75" customHeight="1" s="68">
      <c r="A33" s="131" t="n">
        <v>46318</v>
      </c>
      <c r="B33" s="73" t="inlineStr">
        <is>
          <t>TQQQ</t>
        </is>
      </c>
      <c r="C33" s="73" t="inlineStr">
        <is>
          <t>sell</t>
        </is>
      </c>
      <c r="D33" s="73" t="n">
        <v>193.075324675</v>
      </c>
      <c r="E33" s="78">
        <f>IF(OR(D33="",G33=""),"",D33*G33)</f>
        <v/>
      </c>
      <c r="F33" s="78" t="n">
        <v>65.47499999999999</v>
      </c>
      <c r="G33" s="78" t="n">
        <v>65.45300400000001</v>
      </c>
      <c r="H33" s="135">
        <f>IF(OR(F33="",G33="",C33=""),"",(G33-F33)/F33*10000*IF(LOWER(C33)="buy",1,-1))</f>
        <v/>
      </c>
      <c r="I33" s="134" t="n"/>
    </row>
    <row r="34" ht="15.75" customHeight="1" s="68">
      <c r="A34" s="131" t="n">
        <v>46318</v>
      </c>
      <c r="B34" s="73" t="inlineStr">
        <is>
          <t>QQQ</t>
        </is>
      </c>
      <c r="C34" s="73" t="inlineStr">
        <is>
          <t>buy</t>
        </is>
      </c>
      <c r="D34" s="73" t="n">
        <v>18.008753296</v>
      </c>
      <c r="E34" s="78">
        <f>IF(OR(D34="",G34=""),"",D34*G34)</f>
        <v/>
      </c>
      <c r="F34" s="78" t="n">
        <v>701.495</v>
      </c>
      <c r="G34" s="78" t="n">
        <v>701.467214</v>
      </c>
      <c r="H34" s="135">
        <f>IF(OR(F34="",G34="",C34=""),"",(G34-F34)/F34*10000*IF(LOWER(C34)="buy",1,-1))</f>
        <v/>
      </c>
      <c r="I34" s="134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2026-10-27T00:06:20Z</dcterms:modified>
  <cp:lastModifiedBy>Marty O'Leary</cp:lastModifiedBy>
  <cp:revision>0</cp:revision>
</cp:coreProperties>
</file>