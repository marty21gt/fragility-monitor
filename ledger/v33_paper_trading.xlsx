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s="67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L60" s="67" t="inlineStr">
        <is>
          <t>1.58x</t>
        </is>
      </c>
      <c r="M60" s="67" t="inlineStr">
        <is>
          <t>no change - hold current position</t>
        </is>
      </c>
      <c r="N60" s="67" t="inlineStr">
        <is>
          <t>1.59x</t>
        </is>
      </c>
      <c r="O60" s="122" t="n">
        <v>0.89</v>
      </c>
      <c r="P60" s="83" t="n">
        <v>0.52</v>
      </c>
      <c r="Q60" s="83" t="n">
        <v>0.91</v>
      </c>
      <c r="R60" s="83" t="n">
        <v>0.37</v>
      </c>
      <c r="S60" s="67" t="n">
        <v>137</v>
      </c>
      <c r="T60" s="67" t="inlineStr">
        <is>
          <t>above</t>
        </is>
      </c>
      <c r="U60" s="67" t="inlineStr">
        <is>
          <t>No</t>
        </is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>
        <v>122.850621579</v>
      </c>
      <c r="D61" s="84" t="n">
        <v>704.4</v>
      </c>
      <c r="E61" s="84">
        <f>IF(D61="","",D61*C61)</f>
        <v/>
      </c>
      <c r="F61" s="120">
        <f>IF(B61="","",E61/B61)</f>
        <v/>
      </c>
      <c r="G61" s="127" t="n">
        <v>250.933336979</v>
      </c>
      <c r="H61" s="67" t="n">
        <v>66.29000000000001</v>
      </c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s="67" t="inlineStr">
        <is>
          <t>1.32x</t>
        </is>
      </c>
      <c r="M61" s="67" t="inlineStr">
        <is>
          <t>REBALANCE — 70.75% QQQ / 29.25% TQQQ → 83.75% QQQ / 16.25% TQQQ</t>
        </is>
      </c>
      <c r="N61" s="67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s="67" t="n">
        <v>138</v>
      </c>
      <c r="T61" s="67" t="inlineStr">
        <is>
          <t>above</t>
        </is>
      </c>
      <c r="U61" s="67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>
        <v>0</v>
      </c>
      <c r="AH61" s="126" t="inlineStr">
        <is>
          <t>Y</t>
        </is>
      </c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>
        <v>122.850621579</v>
      </c>
      <c r="D62" s="84" t="n">
        <v>712.2</v>
      </c>
      <c r="E62" s="84">
        <f>IF(D62="","",D62*C62)</f>
        <v/>
      </c>
      <c r="F62" s="120">
        <f>IF(B62="","",E62/B62)</f>
        <v/>
      </c>
      <c r="G62" s="127" t="n">
        <v>250.933336979</v>
      </c>
      <c r="H62" s="67" t="n">
        <v>68.43000000000001</v>
      </c>
      <c r="I62" s="84">
        <f>IF(H62="","",H62*G62)</f>
        <v/>
      </c>
      <c r="J62" s="120">
        <f>IF(B62="","",I62/B62)</f>
        <v/>
      </c>
      <c r="K62" s="121">
        <f>IF(B62="","",F62+J62*3)</f>
        <v/>
      </c>
      <c r="L62" s="67" t="inlineStr">
        <is>
          <t>1.32x</t>
        </is>
      </c>
      <c r="M62" s="67" t="inlineStr">
        <is>
          <t>no change - hold current position</t>
        </is>
      </c>
      <c r="N62" s="67" t="inlineStr">
        <is>
          <t>1.33x</t>
        </is>
      </c>
      <c r="O62" s="122" t="n">
        <v>0.89</v>
      </c>
      <c r="P62" s="83" t="n">
        <v>0.57</v>
      </c>
      <c r="Q62" s="83" t="n">
        <v>0.91</v>
      </c>
      <c r="R62" s="83" t="n">
        <v>0.37</v>
      </c>
      <c r="S62" s="67" t="n">
        <v>139</v>
      </c>
      <c r="T62" s="67" t="inlineStr">
        <is>
          <t>above</t>
        </is>
      </c>
      <c r="U62" s="67" t="inlineStr">
        <is>
          <t>No</t>
        </is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>
        <v>-0.28</v>
      </c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>
        <v>122.850621579</v>
      </c>
      <c r="D63" s="84" t="n">
        <v>721.25</v>
      </c>
      <c r="E63" s="84">
        <f>IF(D63="","",D63*C63)</f>
        <v/>
      </c>
      <c r="F63" s="120">
        <f>IF(B63="","",E63/B63)</f>
        <v/>
      </c>
      <c r="G63" s="127" t="n">
        <v>250.933336979</v>
      </c>
      <c r="H63" t="n">
        <v>71.04000000000001</v>
      </c>
      <c r="I63" s="84">
        <f>IF(H63="","",H63*G63)</f>
        <v/>
      </c>
      <c r="J63" s="120">
        <f>IF(B63="","",I63/B63)</f>
        <v/>
      </c>
      <c r="K63" s="121">
        <f>IF(B63="","",F63+J63*3)</f>
        <v/>
      </c>
      <c r="L63" s="67" t="inlineStr">
        <is>
          <t>1.32x</t>
        </is>
      </c>
      <c r="M63" s="67" t="inlineStr">
        <is>
          <t>no change - hold current position</t>
        </is>
      </c>
      <c r="N63" s="67" t="inlineStr">
        <is>
          <t>1.33x</t>
        </is>
      </c>
      <c r="O63" s="122" t="n">
        <v>0.89</v>
      </c>
      <c r="P63" s="83" t="n">
        <v>0.5600000000000001</v>
      </c>
      <c r="Q63" s="83" t="n">
        <v>0.91</v>
      </c>
      <c r="R63" s="83" t="n">
        <v>0.37</v>
      </c>
      <c r="S63" s="67" t="n">
        <v>140</v>
      </c>
      <c r="T63" s="67" t="inlineStr">
        <is>
          <t>above</t>
        </is>
      </c>
      <c r="U63" s="67" t="inlineStr">
        <is>
          <t>No</t>
        </is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>
        <v>-0.28</v>
      </c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L64" t="inlineStr">
        <is>
          <t>1.32x</t>
        </is>
      </c>
      <c r="M64" t="inlineStr">
        <is>
          <t>no change - hold current position</t>
        </is>
      </c>
      <c r="N64" t="inlineStr">
        <is>
          <t>1.29x</t>
        </is>
      </c>
      <c r="O64" s="122" t="n">
        <v>0.89</v>
      </c>
      <c r="P64" s="83" t="n">
        <v>0.54</v>
      </c>
      <c r="Q64" s="83" t="n">
        <v>0.91</v>
      </c>
      <c r="R64" s="83" t="n">
        <v>0.37</v>
      </c>
      <c r="S64" t="n">
        <v>141</v>
      </c>
      <c r="T64" t="inlineStr">
        <is>
          <t>above</t>
        </is>
      </c>
      <c r="U64" t="inlineStr">
        <is>
          <t>No</t>
        </is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31" t="n">
        <v>46318</v>
      </c>
      <c r="B33" s="73" t="inlineStr">
        <is>
          <t>TQQQ</t>
        </is>
      </c>
      <c r="C33" s="73" t="inlineStr">
        <is>
          <t>sell</t>
        </is>
      </c>
      <c r="D33" s="73" t="n">
        <v>193.075324675</v>
      </c>
      <c r="E33" s="78">
        <f>IF(OR(D33="",G33=""),"",D33*G33)</f>
        <v/>
      </c>
      <c r="F33" s="78" t="n">
        <v>65.47499999999999</v>
      </c>
      <c r="G33" s="78" t="n">
        <v>65.45300400000001</v>
      </c>
      <c r="H33" s="135">
        <f>IF(OR(F33="",G33="",C33=""),"",(G33-F33)/F33*10000*IF(LOWER(C33)="buy",1,-1))</f>
        <v/>
      </c>
      <c r="I33" s="134" t="n"/>
    </row>
    <row r="34" ht="15.75" customHeight="1" s="68">
      <c r="A34" s="131" t="n">
        <v>46318</v>
      </c>
      <c r="B34" s="73" t="inlineStr">
        <is>
          <t>QQQ</t>
        </is>
      </c>
      <c r="C34" s="73" t="inlineStr">
        <is>
          <t>buy</t>
        </is>
      </c>
      <c r="D34" s="73" t="n">
        <v>18.008753296</v>
      </c>
      <c r="E34" s="78">
        <f>IF(OR(D34="",G34=""),"",D34*G34)</f>
        <v/>
      </c>
      <c r="F34" s="78" t="n">
        <v>701.495</v>
      </c>
      <c r="G34" s="78" t="n">
        <v>701.467214</v>
      </c>
      <c r="H34" s="135">
        <f>IF(OR(F34="",G34="",C34=""),"",(G34-F34)/F34*10000*IF(LOWER(C34)="buy",1,-1))</f>
        <v/>
      </c>
      <c r="I34" s="134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2026-10-28T00:05:38Z</dcterms:modified>
  <cp:lastModifiedBy>Marty O'Leary</cp:lastModifiedBy>
  <cp:revision>0</cp:revision>
</cp:coreProperties>
</file>