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>
        <v>756.2</v>
      </c>
      <c r="E47" s="84">
        <f>IF(D47="","",D47*C47)</f>
        <v/>
      </c>
      <c r="F47" s="120">
        <f>IF(B47="","",E47/B47)</f>
        <v/>
      </c>
      <c r="G47" s="127" t="n">
        <v>450.617228933</v>
      </c>
      <c r="H47" s="67" t="n">
        <v>83.12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>
        <v>-0.14</v>
      </c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>
        <v>759.66</v>
      </c>
      <c r="E48" s="84">
        <f>IF(D48="","",D48*C48)</f>
        <v/>
      </c>
      <c r="F48" s="120">
        <f>IF(B48="","",E48/B48)</f>
        <v/>
      </c>
      <c r="G48" s="127" t="n">
        <v>450.617228933</v>
      </c>
      <c r="H48" s="67" t="n">
        <v>84.25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L48" s="67" t="inlineStr">
        <is>
          <t>1.63x</t>
        </is>
      </c>
      <c r="M48" s="67" t="inlineStr">
        <is>
          <t>no change - hold current position</t>
        </is>
      </c>
      <c r="N48" s="67" t="inlineStr">
        <is>
          <t>1.61x</t>
        </is>
      </c>
      <c r="O48" s="122" t="n">
        <v>0.89</v>
      </c>
      <c r="P48" s="83" t="n">
        <v>0.55</v>
      </c>
      <c r="Q48" s="83" t="n">
        <v>0.91</v>
      </c>
      <c r="R48" s="83" t="n">
        <v>0.37</v>
      </c>
      <c r="S48" s="67" t="n">
        <v>125</v>
      </c>
      <c r="T48" s="67" t="inlineStr">
        <is>
          <t>above</t>
        </is>
      </c>
      <c r="U48" s="67" t="inlineStr">
        <is>
          <t>No</t>
        </is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>
        <v>-0.14</v>
      </c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>
        <v>757.73</v>
      </c>
      <c r="E49" s="84">
        <f>IF(D49="","",D49*C49)</f>
        <v/>
      </c>
      <c r="F49" s="120">
        <f>IF(B49="","",E49/B49)</f>
        <v/>
      </c>
      <c r="G49" s="127" t="n">
        <v>450.617228933</v>
      </c>
      <c r="H49" t="n">
        <v>83.62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L49" s="67" t="inlineStr">
        <is>
          <t>1.63x</t>
        </is>
      </c>
      <c r="M49" s="67" t="inlineStr">
        <is>
          <t>no change - hold current position</t>
        </is>
      </c>
      <c r="N49" s="67" t="inlineStr">
        <is>
          <t>1.60x</t>
        </is>
      </c>
      <c r="O49" s="122" t="n">
        <v>0.89</v>
      </c>
      <c r="P49" s="83" t="n">
        <v>0.53</v>
      </c>
      <c r="Q49" s="83" t="n">
        <v>0.91</v>
      </c>
      <c r="R49" s="83" t="n">
        <v>0.37</v>
      </c>
      <c r="S49" s="67" t="n">
        <v>126</v>
      </c>
      <c r="T49" s="67" t="inlineStr">
        <is>
          <t>above</t>
        </is>
      </c>
      <c r="U49" s="67" t="inlineStr">
        <is>
          <t>No</t>
        </is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>
        <v>-0.14</v>
      </c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/>
      <c r="D50" s="84" t="n"/>
      <c r="E50" s="84">
        <f>IF(D50="","",D50*C50)</f>
        <v/>
      </c>
      <c r="F50" s="120">
        <f>IF(B50="","",E50/B50)</f>
        <v/>
      </c>
      <c r="G50" s="127" t="n"/>
      <c r="I50" s="84">
        <f>IF(H50="","",H50*G50)</f>
        <v/>
      </c>
      <c r="J50" s="120">
        <f>IF(B50="","",I50/B50)</f>
        <v/>
      </c>
      <c r="K50" s="121">
        <f>IF(B50="","",F50+J50*3)</f>
        <v/>
      </c>
      <c r="L50" t="inlineStr">
        <is>
          <t>1.63x</t>
        </is>
      </c>
      <c r="M50" t="inlineStr">
        <is>
          <t>no change - hold current position</t>
        </is>
      </c>
      <c r="N50" t="inlineStr">
        <is>
          <t>1.60x</t>
        </is>
      </c>
      <c r="O50" s="122" t="n">
        <v>0.89</v>
      </c>
      <c r="P50" s="83" t="n">
        <v>0.5600000000000001</v>
      </c>
      <c r="Q50" s="83" t="n">
        <v>0.91</v>
      </c>
      <c r="R50" s="83" t="n">
        <v>0.37</v>
      </c>
      <c r="S50" t="n">
        <v>127</v>
      </c>
      <c r="T50" t="inlineStr">
        <is>
          <t>above</t>
        </is>
      </c>
      <c r="U50" t="inlineStr">
        <is>
          <t>No</t>
        </is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/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/>
      <c r="D51" s="84" t="n"/>
      <c r="E51" s="84">
        <f>IF(D51="","",D51*C51)</f>
        <v/>
      </c>
      <c r="F51" s="120">
        <f>IF(B51="","",E51/B51)</f>
        <v/>
      </c>
      <c r="G51" s="127" t="n"/>
      <c r="I51" s="84">
        <f>IF(H51="","",H51*G51)</f>
        <v/>
      </c>
      <c r="J51" s="120">
        <f>IF(B51="","",I51/B51)</f>
        <v/>
      </c>
      <c r="K51" s="121">
        <f>IF(B51="","",F51+J51*3)</f>
        <v/>
      </c>
      <c r="O51" s="122" t="n"/>
      <c r="P51" s="83" t="n"/>
      <c r="Q51" s="83" t="n">
        <v>0.91</v>
      </c>
      <c r="R51" s="83" t="n">
        <v>0.37</v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/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O52" s="122" t="n"/>
      <c r="P52" s="83" t="n"/>
      <c r="Q52" s="83" t="n">
        <v>0.91</v>
      </c>
      <c r="R52" s="83" t="n">
        <v>0.37</v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2026-10-08T00:05:25Z</dcterms:modified>
  <cp:lastModifiedBy>Marty O'Leary</cp:lastModifiedBy>
  <cp:revision>0</cp:revision>
</cp:coreProperties>
</file>